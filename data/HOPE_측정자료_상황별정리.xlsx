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2ae31aece45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8fe859ef162d477e"/>
    <x:sheet xmlns:r="http://schemas.openxmlformats.org/officeDocument/2006/relationships" name="통합원자료" sheetId="2" r:id="R3142b15c5a824354"/>
    <x:sheet xmlns:r="http://schemas.openxmlformats.org/officeDocument/2006/relationships" name="원본파일목록" sheetId="3" r:id="Reed3c4518912454b"/>
    <x:sheet xmlns:r="http://schemas.openxmlformats.org/officeDocument/2006/relationships" name="NATURAL_1H_R1" sheetId="4" r:id="Re5005594deb5452e"/>
    <x:sheet xmlns:r="http://schemas.openxmlformats.org/officeDocument/2006/relationships" name="OPEN2_1H_R1" sheetId="5" r:id="Re68fbea1091c4ab8"/>
    <x:sheet xmlns:r="http://schemas.openxmlformats.org/officeDocument/2006/relationships" name="OPEN2_20M_R1" sheetId="6" r:id="Rd90929118fdb4a6c"/>
    <x:sheet xmlns:r="http://schemas.openxmlformats.org/officeDocument/2006/relationships" name="FREE1_1H_R1" sheetId="7" r:id="R898e8bbe1e9b46ea"/>
    <x:sheet xmlns:r="http://schemas.openxmlformats.org/officeDocument/2006/relationships" name="FREE1_1H_R2" sheetId="8" r:id="R3b7173543e5c44a6"/>
    <x:sheet xmlns:r="http://schemas.openxmlformats.org/officeDocument/2006/relationships" name="MOVE_OPEN2_1H_R1" sheetId="9" r:id="R6234e74c45a74127"/>
    <x:sheet xmlns:r="http://schemas.openxmlformats.org/officeDocument/2006/relationships" name="MOVE_OPEN2_1H_R2" sheetId="10" r:id="R651b6365257042e4"/>
    <x:sheet xmlns:r="http://schemas.openxmlformats.org/officeDocument/2006/relationships" name="CONGESTED_OPEN2_R1" sheetId="11" r:id="Redbd55767a4a47f5"/>
    <x:sheet xmlns:r="http://schemas.openxmlformats.org/officeDocument/2006/relationships" name="CONGESTED_OPEN2_R2" sheetId="12" r:id="Re5fb92fee48440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0"/>
    <x:numFmt numFmtId="202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9">
    <x:border/>
    <x:border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bottom style="thin">
        <x:color rgb="FFD7DEE5"/>
      </x:bottom>
    </x:border>
    <x:border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top style="thin">
        <x:color rgb="FFD7DEE5"/>
      </x:top>
      <x:bottom style="thin">
        <x:color rgb="FFD7DEE5"/>
      </x:bottom>
    </x:border>
    <x:border>
      <x:right style="thin">
        <x:color rgb="FFD7DEE5"/>
      </x:right>
      <x:top style="thin">
        <x:color rgb="FFD7DEE5"/>
      </x:top>
    </x:border>
    <x:border>
      <x:left style="thin">
        <x:color rgb="FFD7DEE5"/>
      </x:left>
      <x:right style="thin">
        <x:color rgb="FFD7DEE5"/>
      </x:right>
      <x:top style="thin">
        <x:color rgb="FFD7DEE5"/>
      </x:top>
    </x:border>
    <x:border>
      <x:left style="thin">
        <x:color rgb="FFD7DEE5"/>
      </x:left>
      <x:top style="thin">
        <x:color rgb="FFD7DEE5"/>
      </x:top>
    </x:border>
    <x:border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bottom style="thin">
        <x:color rgb="FFE4E7EC"/>
      </x:bottom>
    </x:border>
    <x:border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E4E7EC"/>
      </x:left>
      <x:top style="thin">
        <x:color rgb="FFE4E7EC"/>
      </x:top>
      <x:bottom style="thin">
        <x:color rgb="FFE4E7EC"/>
      </x:bottom>
    </x:border>
    <x:border>
      <x:right style="thin">
        <x:color rgb="FFE4E7EC"/>
      </x:right>
      <x:top style="thin">
        <x:color rgb="FFE4E7EC"/>
      </x:top>
    </x:border>
    <x:border>
      <x:left style="thin">
        <x:color rgb="FFE4E7EC"/>
      </x:left>
      <x:right style="thin">
        <x:color rgb="FFE4E7EC"/>
      </x:right>
      <x:top style="thin">
        <x:color rgb="FFE4E7EC"/>
      </x:top>
    </x:border>
    <x:border>
      <x:left style="thin">
        <x:color rgb="FFE4E7EC"/>
      </x:left>
      <x:top style="thin">
        <x:color rgb="FFE4E7EC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1" xfId="0" applyNumberFormat="1" applyFont="1" applyFill="1" applyBorder="1"/>
    <x:xf numFmtId="201" fontId="0" fillId="0" borderId="14" xfId="0" applyNumberFormat="1" applyFont="1" applyFill="1" applyBorder="1"/>
    <x:xf numFmtId="201" fontId="0" fillId="0" borderId="17" xfId="0" applyNumberFormat="1" applyFont="1" applyFill="1" applyBorder="1"/>
    <x:xf numFmtId="202" fontId="0" fillId="0" borderId="11" xfId="0" applyNumberFormat="1" applyFont="1" applyFill="1" applyBorder="1"/>
    <x:xf numFmtId="202" fontId="0" fillId="0" borderId="14" xfId="0" applyNumberFormat="1" applyFont="1" applyFill="1" applyBorder="1"/>
    <x:xf numFmtId="202" fontId="0" fillId="0" borderId="17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0"/>
    </x:xf>
    <x:xf numFmtId="0" fontId="0" fillId="0" borderId="10" xfId="0" applyNumberFormat="1" applyFont="1" applyFill="1" applyBorder="1" applyAlignment="1">
      <x:alignment wrapText="0"/>
    </x:xf>
    <x:xf numFmtId="0" fontId="0" fillId="0" borderId="11" xfId="0" applyNumberFormat="1" applyFont="1" applyFill="1" applyBorder="1" applyAlignment="1">
      <x:alignment wrapText="0"/>
    </x:xf>
    <x:xf numFmtId="202" fontId="0" fillId="0" borderId="11" xfId="0" applyNumberFormat="1" applyFont="1" applyFill="1" applyBorder="1" applyAlignment="1">
      <x:alignment wrapText="0"/>
    </x:xf>
    <x:xf numFmtId="201" fontId="0" fillId="0" borderId="11" xfId="0" applyNumberFormat="1" applyFont="1" applyFill="1" applyBorder="1" applyAlignment="1">
      <x:alignment wrapText="0"/>
    </x:xf>
    <x:xf numFmtId="0" fontId="0" fillId="0" borderId="12" xfId="0" applyNumberFormat="1" applyFont="1" applyFill="1" applyBorder="1" applyAlignment="1">
      <x:alignment wrapText="0"/>
    </x:xf>
    <x:xf numFmtId="0" fontId="0" fillId="0" borderId="13" xfId="0" applyNumberFormat="1" applyFont="1" applyFill="1" applyBorder="1" applyAlignment="1">
      <x:alignment wrapText="0"/>
    </x:xf>
    <x:xf numFmtId="0" fontId="0" fillId="0" borderId="14" xfId="0" applyNumberFormat="1" applyFont="1" applyFill="1" applyBorder="1" applyAlignment="1">
      <x:alignment wrapText="0"/>
    </x:xf>
    <x:xf numFmtId="202" fontId="0" fillId="0" borderId="14" xfId="0" applyNumberFormat="1" applyFont="1" applyFill="1" applyBorder="1" applyAlignment="1">
      <x:alignment wrapText="0"/>
    </x:xf>
    <x:xf numFmtId="201" fontId="0" fillId="0" borderId="14" xfId="0" applyNumberFormat="1" applyFont="1" applyFill="1" applyBorder="1" applyAlignment="1">
      <x:alignment wrapText="0"/>
    </x:xf>
    <x:xf numFmtId="0" fontId="0" fillId="0" borderId="15" xfId="0" applyNumberFormat="1" applyFont="1" applyFill="1" applyBorder="1" applyAlignment="1">
      <x:alignment wrapText="0"/>
    </x:xf>
    <x:xf numFmtId="0" fontId="0" fillId="0" borderId="16" xfId="0" applyNumberFormat="1" applyFont="1" applyFill="1" applyBorder="1" applyAlignment="1">
      <x:alignment wrapText="0"/>
    </x:xf>
    <x:xf numFmtId="0" fontId="0" fillId="0" borderId="17" xfId="0" applyNumberFormat="1" applyFont="1" applyFill="1" applyBorder="1" applyAlignment="1">
      <x:alignment wrapText="0"/>
    </x:xf>
    <x:xf numFmtId="202" fontId="0" fillId="0" borderId="17" xfId="0" applyNumberFormat="1" applyFont="1" applyFill="1" applyBorder="1" applyAlignment="1">
      <x:alignment wrapText="0"/>
    </x:xf>
    <x:xf numFmtId="201" fontId="0" fillId="0" borderId="17" xfId="0" applyNumberFormat="1" applyFont="1" applyFill="1" applyBorder="1" applyAlignment="1">
      <x:alignment wrapText="0"/>
    </x:xf>
    <x:xf numFmtId="0" fontId="0" fillId="0" borderId="18" xfId="0" applyNumberFormat="1" applyFont="1" applyFill="1" applyBorder="1" applyAlignment="1">
      <x:alignment wrapText="0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9f49f2f01d42a0" /><Relationship Type="http://schemas.openxmlformats.org/officeDocument/2006/relationships/theme" Target="/xl/theme/theme1.xml" Id="R95827c7f6c3e4644" /><Relationship Type="http://schemas.openxmlformats.org/officeDocument/2006/relationships/sharedStrings" Target="/xl/sharedStrings.xml" Id="R7c7a87f97655468d" /><Relationship Type="http://schemas.openxmlformats.org/officeDocument/2006/relationships/worksheet" Target="/xl/worksheets/sheet1.xml" Id="R8fe859ef162d477e" /><Relationship Type="http://schemas.openxmlformats.org/officeDocument/2006/relationships/worksheet" Target="/xl/worksheets/sheet2.xml" Id="R3142b15c5a824354" /><Relationship Type="http://schemas.openxmlformats.org/officeDocument/2006/relationships/worksheet" Target="/xl/worksheets/sheet3.xml" Id="Reed3c4518912454b" /><Relationship Type="http://schemas.openxmlformats.org/officeDocument/2006/relationships/worksheet" Target="/xl/worksheets/sheet4.xml" Id="Re5005594deb5452e" /><Relationship Type="http://schemas.openxmlformats.org/officeDocument/2006/relationships/worksheet" Target="/xl/worksheets/sheet5.xml" Id="Re68fbea1091c4ab8" /><Relationship Type="http://schemas.openxmlformats.org/officeDocument/2006/relationships/worksheet" Target="/xl/worksheets/sheet6.xml" Id="Rd90929118fdb4a6c" /><Relationship Type="http://schemas.openxmlformats.org/officeDocument/2006/relationships/worksheet" Target="/xl/worksheets/sheet7.xml" Id="R898e8bbe1e9b46ea" /><Relationship Type="http://schemas.openxmlformats.org/officeDocument/2006/relationships/worksheet" Target="/xl/worksheets/sheet8.xml" Id="R3b7173543e5c44a6" /><Relationship Type="http://schemas.openxmlformats.org/officeDocument/2006/relationships/worksheet" Target="/xl/worksheets/sheet9.xml" Id="R6234e74c45a74127" /><Relationship Type="http://schemas.openxmlformats.org/officeDocument/2006/relationships/worksheet" Target="/xl/worksheets/sheet10.xml" Id="R651b6365257042e4" /><Relationship Type="http://schemas.openxmlformats.org/officeDocument/2006/relationships/worksheet" Target="/xl/worksheets/sheet11.xml" Id="Redbd55767a4a47f5" /><Relationship Type="http://schemas.openxmlformats.org/officeDocument/2006/relationships/worksheet" Target="/xl/worksheets/sheet12.xml" Id="Re5fb92fee48440b7" /></Relationships>
</file>

<file path=xl/tables/table1.xml><?xml version="1.0" encoding="utf-8"?>
<x:table xmlns:x="http://schemas.openxmlformats.org/spreadsheetml/2006/main" id="1" name="HopeAllMeasurements" displayName="HopeAllMeasurements" ref="A1:S401" headerRowCount="1" totalsRowCount="0" totalsRowShown="0">
  <x:tableColumns count="19">
    <x:tableColumn id="1" name="측정세트_ID"/>
    <x:tableColumn id="2" name="상태"/>
    <x:tableColumn id="3" name="측정 위치"/>
    <x:tableColumn id="4" name="대상 AP 구역"/>
    <x:tableColumn id="5" name="측정 형태"/>
    <x:tableColumn id="6" name="측정시간_min"/>
    <x:tableColumn id="7" name="반복"/>
    <x:tableColumn id="8" name="세트내_측정번호"/>
    <x:tableColumn id="9" name="RSSI_dBm"/>
    <x:tableColumn id="10" name="Link_Mbps"/>
    <x:tableColumn id="11" name="UTIL_percent"/>
    <x:tableColumn id="12" name="RTT_ms"/>
    <x:tableColumn id="13" name="PacketLoss_percent"/>
    <x:tableColumn id="14" name="Upload_Mbps"/>
    <x:tableColumn id="15" name="Download_Mbps"/>
    <x:tableColumn id="16" name="Effective_Mbps"/>
    <x:tableColumn id="17" name="원본 이미지"/>
    <x:tableColumn id="18" name="데이터 출처"/>
    <x:tableColumn id="19" name="검토 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Files" displayName="SourceFiles" ref="A1:D15" headerRowCount="1" totalsRowCount="0" totalsRowShown="0">
  <x:tableColumns count="4">
    <x:tableColumn id="1" name="상황 폴더"/>
    <x:tableColumn id="2" name="파일명"/>
    <x:tableColumn id="3" name="연결 측정세트"/>
    <x:tableColumn id="4" name="처리 방법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NATURAL_1H_R1" displayName="T_NATURAL_1H_R1" ref="A1:S58" headerRowCount="1" totalsRowCount="0" totalsRowShown="0">
  <x:tableColumns count="19">
    <x:tableColumn id="1" name="측정세트_ID"/>
    <x:tableColumn id="2" name="상태"/>
    <x:tableColumn id="3" name="측정 위치"/>
    <x:tableColumn id="4" name="대상 AP 구역"/>
    <x:tableColumn id="5" name="측정 형태"/>
    <x:tableColumn id="6" name="측정시간_min"/>
    <x:tableColumn id="7" name="반복"/>
    <x:tableColumn id="8" name="세트내_측정번호"/>
    <x:tableColumn id="9" name="RSSI_dBm"/>
    <x:tableColumn id="10" name="Link_Mbps"/>
    <x:tableColumn id="11" name="UTIL_percent"/>
    <x:tableColumn id="12" name="RTT_ms"/>
    <x:tableColumn id="13" name="PacketLoss_percent"/>
    <x:tableColumn id="14" name="Upload_Mbps"/>
    <x:tableColumn id="15" name="Download_Mbps"/>
    <x:tableColumn id="16" name="Effective_Mbps"/>
    <x:tableColumn id="17" name="원본 이미지"/>
    <x:tableColumn id="18" name="데이터 출처"/>
    <x:tableColumn id="19" name="검토 메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OPEN2_1H_R1" displayName="T_OPEN2_1H_R1" ref="A1:S58" headerRowCount="1" totalsRowCount="0" totalsRowShown="0">
  <x:tableColumns count="19">
    <x:tableColumn id="1" name="측정세트_ID"/>
    <x:tableColumn id="2" name="상태"/>
    <x:tableColumn id="3" name="측정 위치"/>
    <x:tableColumn id="4" name="대상 AP 구역"/>
    <x:tableColumn id="5" name="측정 형태"/>
    <x:tableColumn id="6" name="측정시간_min"/>
    <x:tableColumn id="7" name="반복"/>
    <x:tableColumn id="8" name="세트내_측정번호"/>
    <x:tableColumn id="9" name="RSSI_dBm"/>
    <x:tableColumn id="10" name="Link_Mbps"/>
    <x:tableColumn id="11" name="UTIL_percent"/>
    <x:tableColumn id="12" name="RTT_ms"/>
    <x:tableColumn id="13" name="PacketLoss_percent"/>
    <x:tableColumn id="14" name="Upload_Mbps"/>
    <x:tableColumn id="15" name="Download_Mbps"/>
    <x:tableColumn id="16" name="Effective_Mbps"/>
    <x:tableColumn id="17" name="원본 이미지"/>
    <x:tableColumn id="18" name="데이터 출처"/>
    <x:tableColumn id="19" name="검토 메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OPEN2_20M_R1" displayName="T_OPEN2_20M_R1" ref="A1:S15" headerRowCount="1" totalsRowCount="0" totalsRowShown="0">
  <x:tableColumns count="19">
    <x:tableColumn id="1" name="측정세트_ID"/>
    <x:tableColumn id="2" name="상태"/>
    <x:tableColumn id="3" name="측정 위치"/>
    <x:tableColumn id="4" name="대상 AP 구역"/>
    <x:tableColumn id="5" name="측정 형태"/>
    <x:tableColumn id="6" name="측정시간_min"/>
    <x:tableColumn id="7" name="반복"/>
    <x:tableColumn id="8" name="세트내_측정번호"/>
    <x:tableColumn id="9" name="RSSI_dBm"/>
    <x:tableColumn id="10" name="Link_Mbps"/>
    <x:tableColumn id="11" name="UTIL_percent"/>
    <x:tableColumn id="12" name="RTT_ms"/>
    <x:tableColumn id="13" name="PacketLoss_percent"/>
    <x:tableColumn id="14" name="Upload_Mbps"/>
    <x:tableColumn id="15" name="Download_Mbps"/>
    <x:tableColumn id="16" name="Effective_Mbps"/>
    <x:tableColumn id="17" name="원본 이미지"/>
    <x:tableColumn id="18" name="데이터 출처"/>
    <x:tableColumn id="19" name="검토 메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FREE1_1H_R1" displayName="T_FREE1_1H_R1" ref="A1:S67" headerRowCount="1" totalsRowCount="0" totalsRowShown="0">
  <x:tableColumns count="19">
    <x:tableColumn id="1" name="측정세트_ID"/>
    <x:tableColumn id="2" name="상태"/>
    <x:tableColumn id="3" name="측정 위치"/>
    <x:tableColumn id="4" name="대상 AP 구역"/>
    <x:tableColumn id="5" name="측정 형태"/>
    <x:tableColumn id="6" name="측정시간_min"/>
    <x:tableColumn id="7" name="반복"/>
    <x:tableColumn id="8" name="세트내_측정번호"/>
    <x:tableColumn id="9" name="RSSI_dBm"/>
    <x:tableColumn id="10" name="Link_Mbps"/>
    <x:tableColumn id="11" name="UTIL_percent"/>
    <x:tableColumn id="12" name="RTT_ms"/>
    <x:tableColumn id="13" name="PacketLoss_percent"/>
    <x:tableColumn id="14" name="Upload_Mbps"/>
    <x:tableColumn id="15" name="Download_Mbps"/>
    <x:tableColumn id="16" name="Effective_Mbps"/>
    <x:tableColumn id="17" name="원본 이미지"/>
    <x:tableColumn id="18" name="데이터 출처"/>
    <x:tableColumn id="19" name="검토 메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FREE1_1H_R2" displayName="T_FREE1_1H_R2" ref="A1:S67" headerRowCount="1" totalsRowCount="0" totalsRowShown="0">
  <x:tableColumns count="19">
    <x:tableColumn id="1" name="측정세트_ID"/>
    <x:tableColumn id="2" name="상태"/>
    <x:tableColumn id="3" name="측정 위치"/>
    <x:tableColumn id="4" name="대상 AP 구역"/>
    <x:tableColumn id="5" name="측정 형태"/>
    <x:tableColumn id="6" name="측정시간_min"/>
    <x:tableColumn id="7" name="반복"/>
    <x:tableColumn id="8" name="세트내_측정번호"/>
    <x:tableColumn id="9" name="RSSI_dBm"/>
    <x:tableColumn id="10" name="Link_Mbps"/>
    <x:tableColumn id="11" name="UTIL_percent"/>
    <x:tableColumn id="12" name="RTT_ms"/>
    <x:tableColumn id="13" name="PacketLoss_percent"/>
    <x:tableColumn id="14" name="Upload_Mbps"/>
    <x:tableColumn id="15" name="Download_Mbps"/>
    <x:tableColumn id="16" name="Effective_Mbps"/>
    <x:tableColumn id="17" name="원본 이미지"/>
    <x:tableColumn id="18" name="데이터 출처"/>
    <x:tableColumn id="19" name="검토 메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MOVE_OPEN2_1H_R1" displayName="T_MOVE_OPEN2_1H_R1" ref="A1:S29" headerRowCount="1" totalsRowCount="0" totalsRowShown="0">
  <x:tableColumns count="19">
    <x:tableColumn id="1" name="측정세트_ID"/>
    <x:tableColumn id="2" name="상태"/>
    <x:tableColumn id="3" name="측정 위치"/>
    <x:tableColumn id="4" name="대상 AP 구역"/>
    <x:tableColumn id="5" name="측정 형태"/>
    <x:tableColumn id="6" name="측정시간_min"/>
    <x:tableColumn id="7" name="반복"/>
    <x:tableColumn id="8" name="세트내_측정번호"/>
    <x:tableColumn id="9" name="RSSI_dBm"/>
    <x:tableColumn id="10" name="Link_Mbps"/>
    <x:tableColumn id="11" name="UTIL_percent"/>
    <x:tableColumn id="12" name="RTT_ms"/>
    <x:tableColumn id="13" name="PacketLoss_percent"/>
    <x:tableColumn id="14" name="Upload_Mbps"/>
    <x:tableColumn id="15" name="Download_Mbps"/>
    <x:tableColumn id="16" name="Effective_Mbps"/>
    <x:tableColumn id="17" name="원본 이미지"/>
    <x:tableColumn id="18" name="데이터 출처"/>
    <x:tableColumn id="19" name="검토 메모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MOVE_OPEN2_1H_R2" displayName="T_MOVE_OPEN2_1H_R2" ref="A1:S32" headerRowCount="1" totalsRowCount="0" totalsRowShown="0">
  <x:tableColumns count="19">
    <x:tableColumn id="1" name="측정세트_ID"/>
    <x:tableColumn id="2" name="상태"/>
    <x:tableColumn id="3" name="측정 위치"/>
    <x:tableColumn id="4" name="대상 AP 구역"/>
    <x:tableColumn id="5" name="측정 형태"/>
    <x:tableColumn id="6" name="측정시간_min"/>
    <x:tableColumn id="7" name="반복"/>
    <x:tableColumn id="8" name="세트내_측정번호"/>
    <x:tableColumn id="9" name="RSSI_dBm"/>
    <x:tableColumn id="10" name="Link_Mbps"/>
    <x:tableColumn id="11" name="UTIL_percent"/>
    <x:tableColumn id="12" name="RTT_ms"/>
    <x:tableColumn id="13" name="PacketLoss_percent"/>
    <x:tableColumn id="14" name="Upload_Mbps"/>
    <x:tableColumn id="15" name="Download_Mbps"/>
    <x:tableColumn id="16" name="Effective_Mbps"/>
    <x:tableColumn id="17" name="원본 이미지"/>
    <x:tableColumn id="18" name="데이터 출처"/>
    <x:tableColumn id="19" name="검토 메모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CONGESTED_OPEN2_R1" displayName="T_CONGESTED_OPEN2_R1" ref="A1:S66" headerRowCount="1" totalsRowCount="0" totalsRowShown="0">
  <x:tableColumns count="19">
    <x:tableColumn id="1" name="측정세트_ID"/>
    <x:tableColumn id="2" name="상태"/>
    <x:tableColumn id="3" name="측정 위치"/>
    <x:tableColumn id="4" name="대상 AP 구역"/>
    <x:tableColumn id="5" name="측정 형태"/>
    <x:tableColumn id="6" name="측정시간_min"/>
    <x:tableColumn id="7" name="반복"/>
    <x:tableColumn id="8" name="세트내_측정번호"/>
    <x:tableColumn id="9" name="RSSI_dBm"/>
    <x:tableColumn id="10" name="Link_Mbps"/>
    <x:tableColumn id="11" name="UTIL_percent"/>
    <x:tableColumn id="12" name="RTT_ms"/>
    <x:tableColumn id="13" name="PacketLoss_percent"/>
    <x:tableColumn id="14" name="Upload_Mbps"/>
    <x:tableColumn id="15" name="Download_Mbps"/>
    <x:tableColumn id="16" name="Effective_Mbps"/>
    <x:tableColumn id="17" name="원본 이미지"/>
    <x:tableColumn id="18" name="데이터 출처"/>
    <x:tableColumn id="19" name="검토 메모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CONGESTED_OPEN2_R2" displayName="T_CONGESTED_OPEN2_R2" ref="A1:S17" headerRowCount="1" totalsRowCount="0" totalsRowShown="0">
  <x:tableColumns count="19">
    <x:tableColumn id="1" name="측정세트_ID"/>
    <x:tableColumn id="2" name="상태"/>
    <x:tableColumn id="3" name="측정 위치"/>
    <x:tableColumn id="4" name="대상 AP 구역"/>
    <x:tableColumn id="5" name="측정 형태"/>
    <x:tableColumn id="6" name="측정시간_min"/>
    <x:tableColumn id="7" name="반복"/>
    <x:tableColumn id="8" name="세트내_측정번호"/>
    <x:tableColumn id="9" name="RSSI_dBm"/>
    <x:tableColumn id="10" name="Link_Mbps"/>
    <x:tableColumn id="11" name="UTIL_percent"/>
    <x:tableColumn id="12" name="RTT_ms"/>
    <x:tableColumn id="13" name="PacketLoss_percent"/>
    <x:tableColumn id="14" name="Upload_Mbps"/>
    <x:tableColumn id="15" name="Download_Mbps"/>
    <x:tableColumn id="16" name="Effective_Mbps"/>
    <x:tableColumn id="17" name="원본 이미지"/>
    <x:tableColumn id="18" name="데이터 출처"/>
    <x:tableColumn id="19" name="검토 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3d791313dc44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e4079e5c3942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1e8040136248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c1c509b57e4b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eca85f810c4a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78e21efb4942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24d77e11f224d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be86f991b0472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4c7300b880f4d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431b3768e7e4db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e17700b85df49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2" hidden="0" customWidth="1"/>
    <x:col min="13" max="13" width="18" hidden="0" customWidth="1"/>
    <x:col min="14" max="14" width="14" hidden="0" customWidth="1"/>
    <x:col min="15" max="15" width="16" hidden="0" customWidth="1"/>
    <x:col min="16" max="16" width="17" hidden="0" customWidth="1"/>
    <x:col min="17" max="17" width="42" hidden="0" customWidth="1"/>
    <x:col min="18" max="18" width="22" hidden="0" customWidth="1"/>
    <x:col min="19" max="19" width="34" hidden="0" customWidth="1"/>
  </x:cols>
  <x:sheetData>
    <x:row r="1" ht="19.200000762939453" hidden="0" customHeight="1">
      <x:c r="A1" s="3" t="str">
        <x:v>HOPE Wi-Fi 측정자료 상황별 정리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/>
    <x:row r="3" ht="15" hidden="0" customHeight="1">
      <x:c r="A3" s="6" t="str">
        <x:v>측정세트_ID</x:v>
      </x:c>
      <x:c r="B3" s="6" t="str">
        <x:v>상태</x:v>
      </x:c>
      <x:c r="C3" s="6" t="str">
        <x:v>대상 AP 구역</x:v>
      </x:c>
      <x:c r="D3" s="6" t="str">
        <x:v>형태</x:v>
      </x:c>
      <x:c r="E3" s="6" t="str">
        <x:v>시간(min)</x:v>
      </x:c>
      <x:c r="F3" s="6" t="str">
        <x:v>표본 수</x:v>
      </x:c>
      <x:c r="G3" s="6" t="str">
        <x:v>평균 RSSI</x:v>
      </x:c>
      <x:c r="H3" s="6" t="str">
        <x:v>평균 UTIL(%)</x:v>
      </x:c>
      <x:c r="I3" s="6" t="str">
        <x:v>평균 RTT(ms)</x:v>
      </x:c>
      <x:c r="J3" s="6" t="str">
        <x:v>평균 Effective(Mbps)</x:v>
      </x:c>
    </x:row>
    <x:row r="4" ht="15" hidden="0" customHeight="1">
      <x:c r="A4" s="7" t="str">
        <x:v>NATURAL_1H_R1</x:v>
      </x:c>
      <x:c r="B4" s="8" t="str">
        <x:v>일반</x:v>
      </x:c>
      <x:c r="C4" s="8" t="str">
        <x:v>자연자료실1 AP</x:v>
      </x:c>
      <x:c r="D4" s="8" t="str">
        <x:v>고정</x:v>
      </x:c>
      <x:c r="E4" s="8" t="n">
        <x:v>60</x:v>
      </x:c>
      <x:c r="F4" s="8" t="n">
        <x:f>COUNTIF('통합원자료'!$A$2:$A$401,A4)</x:f>
        <x:v>57</x:v>
      </x:c>
      <x:c r="G4" s="16" t="n">
        <x:f>AVERAGEIF('통합원자료'!$A$2:$A$401,A4,'통합원자료'!$I$2:$I$401)</x:f>
        <x:v>-80.47368421052632</x:v>
      </x:c>
      <x:c r="H4" s="16" t="n">
        <x:f>AVERAGEIF('통합원자료'!$A$2:$A$401,A4,'통합원자료'!$K$2:$K$401)</x:f>
        <x:v>22.789473684210527</x:v>
      </x:c>
      <x:c r="I4" s="16" t="n">
        <x:f>AVERAGEIF('통합원자료'!$A$2:$A$401,A4,'통합원자료'!$L$2:$L$401)</x:f>
        <x:v>6.578947368421052</x:v>
      </x:c>
      <x:c r="J4" s="17" t="n">
        <x:f>AVERAGEIF('통합원자료'!$A$2:$A$401,A4,'통합원자료'!$P$2:$P$401)</x:f>
        <x:v>8.073885245698841</x:v>
      </x:c>
    </x:row>
    <x:row r="5" ht="15" hidden="0" customHeight="1">
      <x:c r="A5" s="10" t="str">
        <x:v>OPEN2_1H_R1</x:v>
      </x:c>
      <x:c r="B5" s="11" t="str">
        <x:v>일반</x:v>
      </x:c>
      <x:c r="C5" s="11" t="str">
        <x:v>오픈열람실2 AP</x:v>
      </x:c>
      <x:c r="D5" s="11" t="str">
        <x:v>고정</x:v>
      </x:c>
      <x:c r="E5" s="11" t="n">
        <x:v>60</x:v>
      </x:c>
      <x:c r="F5" s="11" t="n">
        <x:f>COUNTIF('통합원자료'!$A$2:$A$401,A5)</x:f>
        <x:v>57</x:v>
      </x:c>
      <x:c r="G5" s="18" t="n">
        <x:f>AVERAGEIF('통합원자료'!$A$2:$A$401,A5,'통합원자료'!$I$2:$I$401)</x:f>
        <x:v>-53.64912280701754</x:v>
      </x:c>
      <x:c r="H5" s="18" t="n">
        <x:f>AVERAGEIF('통합원자료'!$A$2:$A$401,A5,'통합원자료'!$K$2:$K$401)</x:f>
        <x:v>34.19298245614035</x:v>
      </x:c>
      <x:c r="I5" s="18" t="n">
        <x:f>AVERAGEIF('통합원자료'!$A$2:$A$401,A5,'통합원자료'!$L$2:$L$401)</x:f>
        <x:v>7.315789473684211</x:v>
      </x:c>
      <x:c r="J5" s="19" t="n">
        <x:f>AVERAGEIF('통합원자료'!$A$2:$A$401,A5,'통합원자료'!$P$2:$P$401)</x:f>
        <x:v>85.5241801508165</x:v>
      </x:c>
    </x:row>
    <x:row r="6" ht="15" hidden="0" customHeight="1">
      <x:c r="A6" s="10" t="str">
        <x:v>OPEN2_20M_R1</x:v>
      </x:c>
      <x:c r="B6" s="11" t="str">
        <x:v>일반</x:v>
      </x:c>
      <x:c r="C6" s="11" t="str">
        <x:v>오픈열람실2 AP</x:v>
      </x:c>
      <x:c r="D6" s="11" t="str">
        <x:v>고정</x:v>
      </x:c>
      <x:c r="E6" s="11" t="n">
        <x:v>20</x:v>
      </x:c>
      <x:c r="F6" s="11" t="n">
        <x:f>COUNTIF('통합원자료'!$A$2:$A$401,A6)</x:f>
        <x:v>14</x:v>
      </x:c>
      <x:c r="G6" s="18" t="n">
        <x:f>AVERAGEIF('통합원자료'!$A$2:$A$401,A6,'통합원자료'!$I$2:$I$401)</x:f>
        <x:v>-55.357142857142854</x:v>
      </x:c>
      <x:c r="H6" s="18" t="n">
        <x:f>AVERAGEIF('통합원자료'!$A$2:$A$401,A6,'통합원자료'!$K$2:$K$401)</x:f>
        <x:v>37</x:v>
      </x:c>
      <x:c r="I6" s="18" t="n">
        <x:f>AVERAGEIF('통합원자료'!$A$2:$A$401,A6,'통합원자료'!$L$2:$L$401)</x:f>
        <x:v>7</x:v>
      </x:c>
      <x:c r="J6" s="19" t="n">
        <x:f>AVERAGEIF('통합원자료'!$A$2:$A$401,A6,'통합원자료'!$P$2:$P$401)</x:f>
        <x:v>86.4188735650199</x:v>
      </x:c>
    </x:row>
    <x:row r="7" ht="15" hidden="0" customHeight="1">
      <x:c r="A7" s="10" t="str">
        <x:v>FREE1_1H_R1</x:v>
      </x:c>
      <x:c r="B7" s="11" t="str">
        <x:v>일반</x:v>
      </x:c>
      <x:c r="C7" s="11" t="str">
        <x:v>자유열람실1 AP</x:v>
      </x:c>
      <x:c r="D7" s="11" t="str">
        <x:v>고정</x:v>
      </x:c>
      <x:c r="E7" s="11" t="n">
        <x:v>60</x:v>
      </x:c>
      <x:c r="F7" s="11" t="n">
        <x:f>COUNTIF('통합원자료'!$A$2:$A$401,A7)</x:f>
        <x:v>66</x:v>
      </x:c>
      <x:c r="G7" s="18" t="n">
        <x:f>AVERAGEIF('통합원자료'!$A$2:$A$401,A7,'통합원자료'!$I$2:$I$401)</x:f>
        <x:v>-76.10606060606061</x:v>
      </x:c>
      <x:c r="H7" s="18" t="n">
        <x:f>AVERAGEIF('통합원자료'!$A$2:$A$401,A7,'통합원자료'!$K$2:$K$401)</x:f>
        <x:v>29.560606060606062</x:v>
      </x:c>
      <x:c r="I7" s="18" t="n">
        <x:f>AVERAGEIF('통합원자료'!$A$2:$A$401,A7,'통합원자료'!$L$2:$L$401)</x:f>
        <x:v>7.681818181818182</x:v>
      </x:c>
      <x:c r="J7" s="19" t="n">
        <x:f>AVERAGEIF('통합원자료'!$A$2:$A$401,A7,'통합원자료'!$P$2:$P$401)</x:f>
        <x:v>3.041524056564067</x:v>
      </x:c>
    </x:row>
    <x:row r="8" ht="15" hidden="0" customHeight="1">
      <x:c r="A8" s="10" t="str">
        <x:v>FREE1_1H_R2</x:v>
      </x:c>
      <x:c r="B8" s="11" t="str">
        <x:v>일반</x:v>
      </x:c>
      <x:c r="C8" s="11" t="str">
        <x:v>자유열람실1 AP</x:v>
      </x:c>
      <x:c r="D8" s="11" t="str">
        <x:v>고정</x:v>
      </x:c>
      <x:c r="E8" s="11" t="n">
        <x:v>60</x:v>
      </x:c>
      <x:c r="F8" s="11" t="n">
        <x:f>COUNTIF('통합원자료'!$A$2:$A$401,A8)</x:f>
        <x:v>66</x:v>
      </x:c>
      <x:c r="G8" s="18" t="n">
        <x:f>AVERAGEIF('통합원자료'!$A$2:$A$401,A8,'통합원자료'!$I$2:$I$401)</x:f>
        <x:v>-74.60606060606061</x:v>
      </x:c>
      <x:c r="H8" s="18" t="n">
        <x:f>AVERAGEIF('통합원자료'!$A$2:$A$401,A8,'통합원자료'!$K$2:$K$401)</x:f>
        <x:v>14.136363636363637</x:v>
      </x:c>
      <x:c r="I8" s="18" t="n">
        <x:f>AVERAGEIF('통합원자료'!$A$2:$A$401,A8,'통합원자료'!$L$2:$L$401)</x:f>
        <x:v>5.075757575757576</x:v>
      </x:c>
      <x:c r="J8" s="19" t="n">
        <x:f>AVERAGEIF('통합원자료'!$A$2:$A$401,A8,'통합원자료'!$P$2:$P$401)</x:f>
        <x:v>7.845035662941977</x:v>
      </x:c>
    </x:row>
    <x:row r="9" ht="15" hidden="0" customHeight="1">
      <x:c r="A9" s="10" t="str">
        <x:v>MOVE_OPEN2_1H_R1</x:v>
      </x:c>
      <x:c r="B9" s="11" t="str">
        <x:v>이동</x:v>
      </x:c>
      <x:c r="C9" s="11" t="str">
        <x:v>오픈열람실2 AP</x:v>
      </x:c>
      <x:c r="D9" s="11" t="str">
        <x:v>이동</x:v>
      </x:c>
      <x:c r="E9" s="11" t="n">
        <x:v>60</x:v>
      </x:c>
      <x:c r="F9" s="11" t="n">
        <x:f>COUNTIF('통합원자료'!$A$2:$A$401,A9)</x:f>
        <x:v>28</x:v>
      </x:c>
      <x:c r="G9" s="18" t="n">
        <x:f>AVERAGEIF('통합원자료'!$A$2:$A$401,A9,'통합원자료'!$I$2:$I$401)</x:f>
        <x:v>-57.142857142857146</x:v>
      </x:c>
      <x:c r="H9" s="18" t="n">
        <x:f>AVERAGEIF('통합원자료'!$A$2:$A$401,A9,'통합원자료'!$K$2:$K$401)</x:f>
        <x:v>26.857142857142858</x:v>
      </x:c>
      <x:c r="I9" s="18" t="n">
        <x:f>AVERAGEIF('통합원자료'!$A$2:$A$401,A9,'통합원자료'!$L$2:$L$401)</x:f>
        <x:v>9.928571428571429</x:v>
      </x:c>
      <x:c r="J9" s="19" t="n">
        <x:f>AVERAGEIF('통합원자료'!$A$2:$A$401,A9,'통합원자료'!$P$2:$P$401)</x:f>
        <x:v>20.56300156251049</x:v>
      </x:c>
    </x:row>
    <x:row r="10" ht="15" hidden="0" customHeight="1">
      <x:c r="A10" s="10" t="str">
        <x:v>MOVE_OPEN2_1H_R2</x:v>
      </x:c>
      <x:c r="B10" s="11" t="str">
        <x:v>이동</x:v>
      </x:c>
      <x:c r="C10" s="11" t="str">
        <x:v>오픈열람실2 AP</x:v>
      </x:c>
      <x:c r="D10" s="11" t="str">
        <x:v>이동</x:v>
      </x:c>
      <x:c r="E10" s="11" t="n">
        <x:v>60</x:v>
      </x:c>
      <x:c r="F10" s="11" t="n">
        <x:f>COUNTIF('통합원자료'!$A$2:$A$401,A10)</x:f>
        <x:v>31</x:v>
      </x:c>
      <x:c r="G10" s="18" t="n">
        <x:f>AVERAGEIF('통합원자료'!$A$2:$A$401,A10,'통합원자료'!$I$2:$I$401)</x:f>
        <x:v>-61.806451612903224</x:v>
      </x:c>
      <x:c r="H10" s="18" t="n">
        <x:f>AVERAGEIF('통합원자료'!$A$2:$A$401,A10,'통합원자료'!$K$2:$K$401)</x:f>
        <x:v>18.451612903225808</x:v>
      </x:c>
      <x:c r="I10" s="18" t="n">
        <x:f>AVERAGEIF('통합원자료'!$A$2:$A$401,A10,'통합원자료'!$L$2:$L$401)</x:f>
        <x:v>12.870967741935484</x:v>
      </x:c>
      <x:c r="J10" s="19" t="n">
        <x:f>AVERAGEIF('통합원자료'!$A$2:$A$401,A10,'통합원자료'!$P$2:$P$401)</x:f>
        <x:v>27.804159078551532</x:v>
      </x:c>
    </x:row>
    <x:row r="11" ht="15" hidden="0" customHeight="1">
      <x:c r="A11" s="10" t="str">
        <x:v>CONGESTED_OPEN2_R1</x:v>
      </x:c>
      <x:c r="B11" s="11" t="str">
        <x:v>혼잡 유도</x:v>
      </x:c>
      <x:c r="C11" s="11" t="str">
        <x:v>오픈열람실2 AP</x:v>
      </x:c>
      <x:c r="D11" s="11" t="str">
        <x:v>고정</x:v>
      </x:c>
      <x:c r="E11" s="11"/>
      <x:c r="F11" s="11" t="n">
        <x:f>COUNTIF('통합원자료'!$A$2:$A$401,A11)</x:f>
        <x:v>65</x:v>
      </x:c>
      <x:c r="G11" s="18" t="n">
        <x:f>AVERAGEIF('통합원자료'!$A$2:$A$401,A11,'통합원자료'!$I$2:$I$401)</x:f>
        <x:v>-52.4</x:v>
      </x:c>
      <x:c r="H11" s="18" t="n">
        <x:f>AVERAGEIF('통합원자료'!$A$2:$A$401,A11,'통합원자료'!$K$2:$K$401)</x:f>
        <x:v>67.06153846153846</x:v>
      </x:c>
      <x:c r="I11" s="18" t="n">
        <x:f>AVERAGEIF('통합원자료'!$A$2:$A$401,A11,'통합원자료'!$L$2:$L$401)</x:f>
        <x:v>23.676923076923078</x:v>
      </x:c>
      <x:c r="J11" s="19" t="n">
        <x:f>AVERAGEIF('통합원자료'!$A$2:$A$401,A11,'통합원자료'!$P$2:$P$401)</x:f>
        <x:v>29.95903546107885</x:v>
      </x:c>
    </x:row>
    <x:row r="12" ht="15" hidden="0" customHeight="1">
      <x:c r="A12" s="13" t="str">
        <x:v>CONGESTED_OPEN2_R2</x:v>
      </x:c>
      <x:c r="B12" s="14" t="str">
        <x:v>혼잡 유도</x:v>
      </x:c>
      <x:c r="C12" s="14" t="str">
        <x:v>오픈열람실2 AP</x:v>
      </x:c>
      <x:c r="D12" s="14" t="str">
        <x:v>고정</x:v>
      </x:c>
      <x:c r="E12" s="14"/>
      <x:c r="F12" s="14" t="n">
        <x:f>COUNTIF('통합원자료'!$A$2:$A$401,A12)</x:f>
        <x:v>16</x:v>
      </x:c>
      <x:c r="G12" s="20" t="n">
        <x:f>AVERAGEIF('통합원자료'!$A$2:$A$401,A12,'통합원자료'!$I$2:$I$401)</x:f>
        <x:v>-51.6875</x:v>
      </x:c>
      <x:c r="H12" s="20" t="n">
        <x:f>AVERAGEIF('통합원자료'!$A$2:$A$401,A12,'통합원자료'!$K$2:$K$401)</x:f>
        <x:v>54.1875</x:v>
      </x:c>
      <x:c r="I12" s="20" t="n">
        <x:f>AVERAGEIF('통합원자료'!$A$2:$A$401,A12,'통합원자료'!$L$2:$L$401)</x:f>
        <x:v>10.125</x:v>
      </x:c>
      <x:c r="J12" s="21" t="n">
        <x:f>AVERAGEIF('통합원자료'!$A$2:$A$401,A12,'통합원자료'!$P$2:$P$401)</x:f>
        <x:v>51.87731092709624</x:v>
      </x:c>
    </x:row>
    <x:row r="13"/>
    <x:row r="14"/>
    <x:row r="15" ht="15" hidden="0" customHeight="1">
      <x:c r="A15" s="24" t="str">
        <x:v>정리 원칙</x:v>
      </x:c>
      <x:c r="B15" s="24"/>
      <x:c r="C15" s="24"/>
      <x:c r="D15" s="24"/>
      <x:c r="E15" s="24"/>
      <x:c r="F15" s="24"/>
      <x:c r="G15" s="24"/>
      <x:c r="H15" s="24"/>
      <x:c r="I15" s="24"/>
      <x:c r="J15" s="24"/>
    </x:row>
    <x:row r="16" ht="15" hidden="0" customHeight="1">
      <x:c r="A16" s="22" t="str">
        <x:v>• 기존 wifi_data.xlsx와 wifi_data2.xlsx의 숫자를 우선 사용했습니다.</x:v>
      </x:c>
      <x:c r="B16" s="22"/>
      <x:c r="C16" s="22"/>
      <x:c r="D16" s="22"/>
      <x:c r="E16" s="22"/>
      <x:c r="F16" s="22"/>
      <x:c r="G16" s="22"/>
      <x:c r="H16" s="22"/>
      <x:c r="I16" s="22"/>
      <x:c r="J16" s="22"/>
    </x:row>
    <x:row r="17" ht="15" hidden="0" customHeight="1">
      <x:c r="A17" s="22" t="str">
        <x:v>• 기존 Excel에 없던 캡처 행은 이미지에서 판독했으며 ‘검토 메모’에 표시했습니다.</x:v>
      </x:c>
      <x:c r="B17" s="22"/>
      <x:c r="C17" s="22"/>
      <x:c r="D17" s="22"/>
      <x:c r="E17" s="22"/>
      <x:c r="F17" s="22"/>
      <x:c r="G17" s="22"/>
      <x:c r="H17" s="22"/>
      <x:c r="I17" s="22"/>
      <x:c r="J17" s="22"/>
    </x:row>
    <x:row r="18" ht="15" hidden="0" customHeight="1">
      <x:c r="A18" s="22" t="str">
        <x:v>• Effective_Mbps는 업로드·다운로드의 조화평균으로 계산하며, 한쪽 값이 없으면 빈칸입니다.</x:v>
      </x:c>
      <x:c r="B18" s="22"/>
      <x:c r="C18" s="22"/>
      <x:c r="D18" s="22"/>
      <x:c r="E18" s="22"/>
      <x:c r="F18" s="22"/>
      <x:c r="G18" s="22"/>
      <x:c r="H18" s="22"/>
      <x:c r="I18" s="22"/>
      <x:c r="J18" s="22"/>
    </x:row>
  </x:sheetData>
  <x:mergeCells>
    <x:mergeCell ref="A1:J1"/>
    <x:mergeCell ref="A15:J15"/>
    <x:mergeCell ref="A16:J16"/>
    <x:mergeCell ref="A17:J17"/>
    <x:mergeCell ref="A18:J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20" hidden="0" customWidth="1"/>
    <x:col min="5" max="5" width="12" hidden="0" customWidth="1"/>
    <x:col min="6" max="6" width="12" hidden="0" customWidth="1"/>
    <x:col min="7" max="7" width="9" hidden="0" customWidth="1"/>
    <x:col min="8" max="8" width="14" hidden="0" customWidth="1"/>
    <x:col min="9" max="9" width="12" hidden="0" customWidth="1"/>
    <x:col min="10" max="10" width="12" hidden="0" customWidth="1"/>
    <x:col min="11" max="11" width="13" hidden="0" customWidth="1"/>
    <x:col min="12" max="12" width="12" hidden="0" customWidth="1"/>
    <x:col min="13" max="13" width="18" hidden="0" customWidth="1"/>
    <x:col min="14" max="14" width="14" hidden="0" customWidth="1"/>
    <x:col min="15" max="15" width="16" hidden="0" customWidth="1"/>
    <x:col min="16" max="16" width="17" hidden="0" customWidth="1"/>
    <x:col min="17" max="17" width="42" hidden="0" customWidth="1"/>
    <x:col min="18" max="18" width="22" hidden="0" customWidth="1"/>
    <x:col min="19" max="19" width="34" hidden="0" customWidth="1"/>
  </x:cols>
  <x:sheetData>
    <x:row r="1" ht="15" hidden="0" customHeight="1">
      <x:c r="A1" s="40" t="str">
        <x:v>측정세트_ID</x:v>
      </x:c>
      <x:c r="B1" s="40" t="str">
        <x:v>상태</x:v>
      </x:c>
      <x:c r="C1" s="40" t="str">
        <x:v>측정 위치</x:v>
      </x:c>
      <x:c r="D1" s="40" t="str">
        <x:v>대상 AP 구역</x:v>
      </x:c>
      <x:c r="E1" s="40" t="str">
        <x:v>측정 형태</x:v>
      </x:c>
      <x:c r="F1" s="40" t="str">
        <x:v>측정시간_min</x:v>
      </x:c>
      <x:c r="G1" s="40" t="str">
        <x:v>반복</x:v>
      </x:c>
      <x:c r="H1" s="40" t="str">
        <x:v>세트내_측정번호</x:v>
      </x:c>
      <x:c r="I1" s="40" t="str">
        <x:v>RSSI_dBm</x:v>
      </x:c>
      <x:c r="J1" s="40" t="str">
        <x:v>Link_Mbps</x:v>
      </x:c>
      <x:c r="K1" s="40" t="str">
        <x:v>UTIL_percent</x:v>
      </x:c>
      <x:c r="L1" s="40" t="str">
        <x:v>RTT_ms</x:v>
      </x:c>
      <x:c r="M1" s="40" t="str">
        <x:v>PacketLoss_percent</x:v>
      </x:c>
      <x:c r="N1" s="40" t="str">
        <x:v>Upload_Mbps</x:v>
      </x:c>
      <x:c r="O1" s="40" t="str">
        <x:v>Download_Mbps</x:v>
      </x:c>
      <x:c r="P1" s="40" t="str">
        <x:v>Effective_Mbps</x:v>
      </x:c>
      <x:c r="Q1" s="40" t="str">
        <x:v>원본 이미지</x:v>
      </x:c>
      <x:c r="R1" s="40" t="str">
        <x:v>데이터 출처</x:v>
      </x:c>
      <x:c r="S1" s="40" t="str">
        <x:v>검토 메모</x:v>
      </x:c>
    </x:row>
    <x:row r="2" ht="15" hidden="0" customHeight="1">
      <x:c r="A2" s="41" t="str">
        <x:v>NATURAL_1H_R1</x:v>
      </x:c>
      <x:c r="B2" s="42" t="str">
        <x:v>일반</x:v>
      </x:c>
      <x:c r="C2" s="42" t="str">
        <x:v>오픈열람실2</x:v>
      </x:c>
      <x:c r="D2" s="42" t="str">
        <x:v>자연자료실1 AP</x:v>
      </x:c>
      <x:c r="E2" s="42" t="str">
        <x:v>고정</x:v>
      </x:c>
      <x:c r="F2" s="43" t="n">
        <x:v>60</x:v>
      </x:c>
      <x:c r="G2" s="43" t="n">
        <x:v>1</x:v>
      </x:c>
      <x:c r="H2" s="43" t="n">
        <x:v>1</x:v>
      </x:c>
      <x:c r="I2" s="44" t="n">
        <x:v>-80</x:v>
      </x:c>
      <x:c r="J2" s="44" t="n">
        <x:v>960.75</x:v>
      </x:c>
      <x:c r="K2" s="44" t="n">
        <x:v>78</x:v>
      </x:c>
      <x:c r="L2" s="44" t="n">
        <x:v>3</x:v>
      </x:c>
      <x:c r="M2" s="44" t="n">
        <x:v>26.6667</x:v>
      </x:c>
      <x:c r="N2" s="44" t="n">
        <x:v>12.3439</x:v>
      </x:c>
      <x:c r="O2" s="44" t="n">
        <x:v>8.6011</x:v>
      </x:c>
      <x:c r="P2" s="44" t="n">
        <x:f>IF(OR(N2="",O2=""),"",2*N2*O2/(N2+O2))</x:f>
        <x:v>10.138087208402961</x:v>
      </x:c>
      <x:c r="Q2" s="56" t="str">
        <x:v>오열에서_자연1_1시간 측정_1.jpg; 오열에서_자연1_1시간 측정_2.jpg</x:v>
      </x:c>
      <x:c r="R2" s="56" t="str">
        <x:v>기존 Excel 대응</x:v>
      </x:c>
      <x:c r="S2" s="57" t="str"/>
    </x:row>
    <x:row r="3" ht="15" hidden="0" customHeight="1">
      <x:c r="A3" s="46" t="str">
        <x:v>NATURAL_1H_R1</x:v>
      </x:c>
      <x:c r="B3" s="47" t="str">
        <x:v>일반</x:v>
      </x:c>
      <x:c r="C3" s="47" t="str">
        <x:v>오픈열람실2</x:v>
      </x:c>
      <x:c r="D3" s="47" t="str">
        <x:v>자연자료실1 AP</x:v>
      </x:c>
      <x:c r="E3" s="47" t="str">
        <x:v>고정</x:v>
      </x:c>
      <x:c r="F3" s="48" t="n">
        <x:v>60</x:v>
      </x:c>
      <x:c r="G3" s="48" t="n">
        <x:v>1</x:v>
      </x:c>
      <x:c r="H3" s="48" t="n">
        <x:v>2</x:v>
      </x:c>
      <x:c r="I3" s="49" t="n">
        <x:v>-79</x:v>
      </x:c>
      <x:c r="J3" s="49" t="n">
        <x:v>960.75</x:v>
      </x:c>
      <x:c r="K3" s="49" t="n">
        <x:v>17</x:v>
      </x:c>
      <x:c r="L3" s="49" t="n">
        <x:v>3</x:v>
      </x:c>
      <x:c r="M3" s="49" t="n">
        <x:v>0</x:v>
      </x:c>
      <x:c r="N3" s="49" t="n">
        <x:v>21.9789</x:v>
      </x:c>
      <x:c r="O3" s="49" t="n">
        <x:v>7.9566</x:v>
      </x:c>
      <x:c r="P3" s="49" t="n">
        <x:f>IF(OR(N3="",O3=""),"",2*N3*O3/(N3+O3))</x:f>
        <x:v>11.68360747206494</x:v>
      </x:c>
      <x:c r="Q3" s="58" t="str">
        <x:v>오열에서_자연1_1시간 측정_1.jpg; 오열에서_자연1_1시간 측정_2.jpg</x:v>
      </x:c>
      <x:c r="R3" s="58" t="str">
        <x:v>기존 Excel 대응</x:v>
      </x:c>
      <x:c r="S3" s="59" t="str"/>
    </x:row>
    <x:row r="4" ht="15" hidden="0" customHeight="1">
      <x:c r="A4" s="46" t="str">
        <x:v>NATURAL_1H_R1</x:v>
      </x:c>
      <x:c r="B4" s="47" t="str">
        <x:v>일반</x:v>
      </x:c>
      <x:c r="C4" s="47" t="str">
        <x:v>오픈열람실2</x:v>
      </x:c>
      <x:c r="D4" s="47" t="str">
        <x:v>자연자료실1 AP</x:v>
      </x:c>
      <x:c r="E4" s="47" t="str">
        <x:v>고정</x:v>
      </x:c>
      <x:c r="F4" s="48" t="n">
        <x:v>60</x:v>
      </x:c>
      <x:c r="G4" s="48" t="n">
        <x:v>1</x:v>
      </x:c>
      <x:c r="H4" s="48" t="n">
        <x:v>3</x:v>
      </x:c>
      <x:c r="I4" s="49" t="n">
        <x:v>-78</x:v>
      </x:c>
      <x:c r="J4" s="49" t="n">
        <x:v>960.75</x:v>
      </x:c>
      <x:c r="K4" s="49" t="n">
        <x:v>12</x:v>
      </x:c>
      <x:c r="L4" s="49" t="n">
        <x:v>4</x:v>
      </x:c>
      <x:c r="M4" s="49" t="n">
        <x:v>0</x:v>
      </x:c>
      <x:c r="N4" s="49" t="n">
        <x:v>4.6096</x:v>
      </x:c>
      <x:c r="O4" s="49" t="n">
        <x:v>11.7352</x:v>
      </x:c>
      <x:c r="P4" s="49" t="n">
        <x:f>IF(OR(N4="",O4=""),"",2*N4*O4/(N4+O4))</x:f>
        <x:v>6.6191789339728855</x:v>
      </x:c>
      <x:c r="Q4" s="58" t="str">
        <x:v>오열에서_자연1_1시간 측정_1.jpg; 오열에서_자연1_1시간 측정_2.jpg</x:v>
      </x:c>
      <x:c r="R4" s="58" t="str">
        <x:v>기존 Excel 대응</x:v>
      </x:c>
      <x:c r="S4" s="59" t="str"/>
    </x:row>
    <x:row r="5" ht="15" hidden="0" customHeight="1">
      <x:c r="A5" s="46" t="str">
        <x:v>NATURAL_1H_R1</x:v>
      </x:c>
      <x:c r="B5" s="47" t="str">
        <x:v>일반</x:v>
      </x:c>
      <x:c r="C5" s="47" t="str">
        <x:v>오픈열람실2</x:v>
      </x:c>
      <x:c r="D5" s="47" t="str">
        <x:v>자연자료실1 AP</x:v>
      </x:c>
      <x:c r="E5" s="47" t="str">
        <x:v>고정</x:v>
      </x:c>
      <x:c r="F5" s="48" t="n">
        <x:v>60</x:v>
      </x:c>
      <x:c r="G5" s="48" t="n">
        <x:v>1</x:v>
      </x:c>
      <x:c r="H5" s="48" t="n">
        <x:v>4</x:v>
      </x:c>
      <x:c r="I5" s="49" t="n">
        <x:v>-78</x:v>
      </x:c>
      <x:c r="J5" s="49" t="n">
        <x:v>960.75</x:v>
      </x:c>
      <x:c r="K5" s="49" t="n">
        <x:v>88</x:v>
      </x:c>
      <x:c r="L5" s="49" t="n">
        <x:v>69</x:v>
      </x:c>
      <x:c r="M5" s="49" t="n">
        <x:v>0</x:v>
      </x:c>
      <x:c r="N5" s="49" t="n">
        <x:v>8.4026</x:v>
      </x:c>
      <x:c r="O5" s="49" t="n">
        <x:v>2.7223</x:v>
      </x:c>
      <x:c r="P5" s="49" t="n">
        <x:f>IF(OR(N5="",O5=""),"",2*N5*O5/(N5+O5))</x:f>
        <x:v>4.112288286636285</x:v>
      </x:c>
      <x:c r="Q5" s="58" t="str">
        <x:v>오열에서_자연1_1시간 측정_1.jpg; 오열에서_자연1_1시간 측정_2.jpg</x:v>
      </x:c>
      <x:c r="R5" s="58" t="str">
        <x:v>기존 Excel 대응</x:v>
      </x:c>
      <x:c r="S5" s="59" t="str"/>
    </x:row>
    <x:row r="6" ht="15" hidden="0" customHeight="1">
      <x:c r="A6" s="46" t="str">
        <x:v>NATURAL_1H_R1</x:v>
      </x:c>
      <x:c r="B6" s="47" t="str">
        <x:v>일반</x:v>
      </x:c>
      <x:c r="C6" s="47" t="str">
        <x:v>오픈열람실2</x:v>
      </x:c>
      <x:c r="D6" s="47" t="str">
        <x:v>자연자료실1 AP</x:v>
      </x:c>
      <x:c r="E6" s="47" t="str">
        <x:v>고정</x:v>
      </x:c>
      <x:c r="F6" s="48" t="n">
        <x:v>60</x:v>
      </x:c>
      <x:c r="G6" s="48" t="n">
        <x:v>1</x:v>
      </x:c>
      <x:c r="H6" s="48" t="n">
        <x:v>5</x:v>
      </x:c>
      <x:c r="I6" s="49" t="n">
        <x:v>-80</x:v>
      </x:c>
      <x:c r="J6" s="49" t="n">
        <x:v>960.75</x:v>
      </x:c>
      <x:c r="K6" s="49" t="n">
        <x:v>10</x:v>
      </x:c>
      <x:c r="L6" s="49" t="n">
        <x:v>6</x:v>
      </x:c>
      <x:c r="M6" s="49" t="n">
        <x:v>0</x:v>
      </x:c>
      <x:c r="N6" s="49" t="n">
        <x:v>12.5483</x:v>
      </x:c>
      <x:c r="O6" s="49" t="n">
        <x:v>8.5853</x:v>
      </x:c>
      <x:c r="P6" s="49" t="n">
        <x:f>IF(OR(N6="",O6=""),"",2*N6*O6/(N6+O6))</x:f>
        <x:v>10.195226557709049</x:v>
      </x:c>
      <x:c r="Q6" s="58" t="str">
        <x:v>오열에서_자연1_1시간 측정_1.jpg; 오열에서_자연1_1시간 측정_2.jpg</x:v>
      </x:c>
      <x:c r="R6" s="58" t="str">
        <x:v>기존 Excel 대응</x:v>
      </x:c>
      <x:c r="S6" s="59" t="str"/>
    </x:row>
    <x:row r="7" ht="15" hidden="0" customHeight="1">
      <x:c r="A7" s="46" t="str">
        <x:v>NATURAL_1H_R1</x:v>
      </x:c>
      <x:c r="B7" s="47" t="str">
        <x:v>일반</x:v>
      </x:c>
      <x:c r="C7" s="47" t="str">
        <x:v>오픈열람실2</x:v>
      </x:c>
      <x:c r="D7" s="47" t="str">
        <x:v>자연자료실1 AP</x:v>
      </x:c>
      <x:c r="E7" s="47" t="str">
        <x:v>고정</x:v>
      </x:c>
      <x:c r="F7" s="48" t="n">
        <x:v>60</x:v>
      </x:c>
      <x:c r="G7" s="48" t="n">
        <x:v>1</x:v>
      </x:c>
      <x:c r="H7" s="48" t="n">
        <x:v>6</x:v>
      </x:c>
      <x:c r="I7" s="49" t="n">
        <x:v>-61</x:v>
      </x:c>
      <x:c r="J7" s="49" t="n">
        <x:v>960.75</x:v>
      </x:c>
      <x:c r="K7" s="49" t="n">
        <x:v>12</x:v>
      </x:c>
      <x:c r="L7" s="49" t="n">
        <x:v>3</x:v>
      </x:c>
      <x:c r="M7" s="49" t="n">
        <x:v>0</x:v>
      </x:c>
      <x:c r="N7" s="49" t="n">
        <x:v>9.4245</x:v>
      </x:c>
      <x:c r="O7" s="49" t="n">
        <x:v>7.9482</x:v>
      </x:c>
      <x:c r="P7" s="49" t="n">
        <x:f>IF(OR(N7="",O7=""),"",2*N7*O7/(N7+O7))</x:f>
        <x:v>8.623623374604984</x:v>
      </x:c>
      <x:c r="Q7" s="58" t="str">
        <x:v>오열에서_자연1_1시간 측정_1.jpg; 오열에서_자연1_1시간 측정_2.jpg</x:v>
      </x:c>
      <x:c r="R7" s="58" t="str">
        <x:v>기존 Excel 대응</x:v>
      </x:c>
      <x:c r="S7" s="59" t="str"/>
    </x:row>
    <x:row r="8" ht="15" hidden="0" customHeight="1">
      <x:c r="A8" s="46" t="str">
        <x:v>NATURAL_1H_R1</x:v>
      </x:c>
      <x:c r="B8" s="47" t="str">
        <x:v>일반</x:v>
      </x:c>
      <x:c r="C8" s="47" t="str">
        <x:v>오픈열람실2</x:v>
      </x:c>
      <x:c r="D8" s="47" t="str">
        <x:v>자연자료실1 AP</x:v>
      </x:c>
      <x:c r="E8" s="47" t="str">
        <x:v>고정</x:v>
      </x:c>
      <x:c r="F8" s="48" t="n">
        <x:v>60</x:v>
      </x:c>
      <x:c r="G8" s="48" t="n">
        <x:v>1</x:v>
      </x:c>
      <x:c r="H8" s="48" t="n">
        <x:v>7</x:v>
      </x:c>
      <x:c r="I8" s="49" t="n">
        <x:v>-80</x:v>
      </x:c>
      <x:c r="J8" s="49" t="n">
        <x:v>960.75</x:v>
      </x:c>
      <x:c r="K8" s="49" t="n">
        <x:v>14</x:v>
      </x:c>
      <x:c r="L8" s="49" t="n">
        <x:v>3</x:v>
      </x:c>
      <x:c r="M8" s="49" t="n">
        <x:v>0</x:v>
      </x:c>
      <x:c r="N8" s="49" t="n">
        <x:v>10.4688</x:v>
      </x:c>
      <x:c r="O8" s="49" t="n">
        <x:v>8.5872</x:v>
      </x:c>
      <x:c r="P8" s="49" t="n">
        <x:f>IF(OR(N8="",O8=""),"",2*N8*O8/(N8+O8))</x:f>
        <x:v>9.435104886649874</x:v>
      </x:c>
      <x:c r="Q8" s="58" t="str">
        <x:v>오열에서_자연1_1시간 측정_1.jpg; 오열에서_자연1_1시간 측정_2.jpg</x:v>
      </x:c>
      <x:c r="R8" s="58" t="str">
        <x:v>기존 Excel 대응</x:v>
      </x:c>
      <x:c r="S8" s="59" t="str"/>
    </x:row>
    <x:row r="9" ht="15" hidden="0" customHeight="1">
      <x:c r="A9" s="46" t="str">
        <x:v>NATURAL_1H_R1</x:v>
      </x:c>
      <x:c r="B9" s="47" t="str">
        <x:v>일반</x:v>
      </x:c>
      <x:c r="C9" s="47" t="str">
        <x:v>오픈열람실2</x:v>
      </x:c>
      <x:c r="D9" s="47" t="str">
        <x:v>자연자료실1 AP</x:v>
      </x:c>
      <x:c r="E9" s="47" t="str">
        <x:v>고정</x:v>
      </x:c>
      <x:c r="F9" s="48" t="n">
        <x:v>60</x:v>
      </x:c>
      <x:c r="G9" s="48" t="n">
        <x:v>1</x:v>
      </x:c>
      <x:c r="H9" s="48" t="n">
        <x:v>8</x:v>
      </x:c>
      <x:c r="I9" s="49" t="n">
        <x:v>-80</x:v>
      </x:c>
      <x:c r="J9" s="49" t="n">
        <x:v>960.75</x:v>
      </x:c>
      <x:c r="K9" s="49" t="n">
        <x:v>18</x:v>
      </x:c>
      <x:c r="L9" s="49" t="n">
        <x:v>4</x:v>
      </x:c>
      <x:c r="M9" s="49" t="n">
        <x:v>0</x:v>
      </x:c>
      <x:c r="N9" s="49" t="n">
        <x:v>15.7001</x:v>
      </x:c>
      <x:c r="O9" s="49" t="n">
        <x:v>8.5724</x:v>
      </x:c>
      <x:c r="P9" s="49" t="n">
        <x:f>IF(OR(N9="",O9=""),"",2*N9*O9/(N9+O9))</x:f>
        <x:v>11.089713646307551</x:v>
      </x:c>
      <x:c r="Q9" s="58" t="str">
        <x:v>오열에서_자연1_1시간 측정_1.jpg; 오열에서_자연1_1시간 측정_2.jpg</x:v>
      </x:c>
      <x:c r="R9" s="58" t="str">
        <x:v>기존 Excel 대응</x:v>
      </x:c>
      <x:c r="S9" s="59" t="str"/>
    </x:row>
    <x:row r="10" ht="15" hidden="0" customHeight="1">
      <x:c r="A10" s="46" t="str">
        <x:v>NATURAL_1H_R1</x:v>
      </x:c>
      <x:c r="B10" s="47" t="str">
        <x:v>일반</x:v>
      </x:c>
      <x:c r="C10" s="47" t="str">
        <x:v>오픈열람실2</x:v>
      </x:c>
      <x:c r="D10" s="47" t="str">
        <x:v>자연자료실1 AP</x:v>
      </x:c>
      <x:c r="E10" s="47" t="str">
        <x:v>고정</x:v>
      </x:c>
      <x:c r="F10" s="48" t="n">
        <x:v>60</x:v>
      </x:c>
      <x:c r="G10" s="48" t="n">
        <x:v>1</x:v>
      </x:c>
      <x:c r="H10" s="48" t="n">
        <x:v>9</x:v>
      </x:c>
      <x:c r="I10" s="49" t="n">
        <x:v>-80</x:v>
      </x:c>
      <x:c r="J10" s="49" t="n">
        <x:v>960.75</x:v>
      </x:c>
      <x:c r="K10" s="49" t="n">
        <x:v>45</x:v>
      </x:c>
      <x:c r="L10" s="49" t="n">
        <x:v>4</x:v>
      </x:c>
      <x:c r="M10" s="49" t="n">
        <x:v>0</x:v>
      </x:c>
      <x:c r="N10" s="49" t="n">
        <x:v>6.4889</x:v>
      </x:c>
      <x:c r="O10" s="49" t="n">
        <x:v>3.5557</x:v>
      </x:c>
      <x:c r="P10" s="49" t="n">
        <x:f>IF(OR(N10="",O10=""),"",2*N10*O10/(N10+O10))</x:f>
        <x:v>4.594026985644028</x:v>
      </x:c>
      <x:c r="Q10" s="58" t="str">
        <x:v>오열에서_자연1_1시간 측정_1.jpg; 오열에서_자연1_1시간 측정_2.jpg</x:v>
      </x:c>
      <x:c r="R10" s="58" t="str">
        <x:v>기존 Excel 대응</x:v>
      </x:c>
      <x:c r="S10" s="59" t="str"/>
    </x:row>
    <x:row r="11" ht="15" hidden="0" customHeight="1">
      <x:c r="A11" s="46" t="str">
        <x:v>NATURAL_1H_R1</x:v>
      </x:c>
      <x:c r="B11" s="47" t="str">
        <x:v>일반</x:v>
      </x:c>
      <x:c r="C11" s="47" t="str">
        <x:v>오픈열람실2</x:v>
      </x:c>
      <x:c r="D11" s="47" t="str">
        <x:v>자연자료실1 AP</x:v>
      </x:c>
      <x:c r="E11" s="47" t="str">
        <x:v>고정</x:v>
      </x:c>
      <x:c r="F11" s="48" t="n">
        <x:v>60</x:v>
      </x:c>
      <x:c r="G11" s="48" t="n">
        <x:v>1</x:v>
      </x:c>
      <x:c r="H11" s="48" t="n">
        <x:v>10</x:v>
      </x:c>
      <x:c r="I11" s="49" t="n">
        <x:v>-80</x:v>
      </x:c>
      <x:c r="J11" s="49" t="n">
        <x:v>960.75</x:v>
      </x:c>
      <x:c r="K11" s="49" t="n">
        <x:v>25</x:v>
      </x:c>
      <x:c r="L11" s="49" t="n">
        <x:v>5</x:v>
      </x:c>
      <x:c r="M11" s="49" t="n">
        <x:v>0</x:v>
      </x:c>
      <x:c r="N11" s="49" t="n">
        <x:v>7.533</x:v>
      </x:c>
      <x:c r="O11" s="49" t="n">
        <x:v>7.5263</x:v>
      </x:c>
      <x:c r="P11" s="49" t="n">
        <x:f>IF(OR(N11="",O11=""),"",2*N11*O11/(N11+O11))</x:f>
        <x:v>7.529648509558878</x:v>
      </x:c>
      <x:c r="Q11" s="58" t="str">
        <x:v>오열에서_자연1_1시간 측정_1.jpg; 오열에서_자연1_1시간 측정_2.jpg</x:v>
      </x:c>
      <x:c r="R11" s="58" t="str">
        <x:v>기존 Excel 대응</x:v>
      </x:c>
      <x:c r="S11" s="59" t="str"/>
    </x:row>
    <x:row r="12" ht="15" hidden="0" customHeight="1">
      <x:c r="A12" s="46" t="str">
        <x:v>NATURAL_1H_R1</x:v>
      </x:c>
      <x:c r="B12" s="47" t="str">
        <x:v>일반</x:v>
      </x:c>
      <x:c r="C12" s="47" t="str">
        <x:v>오픈열람실2</x:v>
      </x:c>
      <x:c r="D12" s="47" t="str">
        <x:v>자연자료실1 AP</x:v>
      </x:c>
      <x:c r="E12" s="47" t="str">
        <x:v>고정</x:v>
      </x:c>
      <x:c r="F12" s="48" t="n">
        <x:v>60</x:v>
      </x:c>
      <x:c r="G12" s="48" t="n">
        <x:v>1</x:v>
      </x:c>
      <x:c r="H12" s="48" t="n">
        <x:v>11</x:v>
      </x:c>
      <x:c r="I12" s="49" t="n">
        <x:v>-81</x:v>
      </x:c>
      <x:c r="J12" s="49" t="n">
        <x:v>960.75</x:v>
      </x:c>
      <x:c r="K12" s="49" t="n">
        <x:v>14</x:v>
      </x:c>
      <x:c r="L12" s="49" t="n">
        <x:v>4</x:v>
      </x:c>
      <x:c r="M12" s="49" t="n">
        <x:v>0</x:v>
      </x:c>
      <x:c r="N12" s="49" t="n">
        <x:v>13.1777</x:v>
      </x:c>
      <x:c r="O12" s="49" t="n">
        <x:v>5.2287</x:v>
      </x:c>
      <x:c r="P12" s="49" t="n">
        <x:f>IF(OR(N12="",O12=""),"",2*N12*O12/(N12+O12))</x:f>
        <x:v>7.486769818106747</x:v>
      </x:c>
      <x:c r="Q12" s="58" t="str">
        <x:v>오열에서_자연1_1시간 측정_1.jpg; 오열에서_자연1_1시간 측정_2.jpg</x:v>
      </x:c>
      <x:c r="R12" s="58" t="str">
        <x:v>기존 Excel 대응</x:v>
      </x:c>
      <x:c r="S12" s="59" t="str"/>
    </x:row>
    <x:row r="13" ht="15" hidden="0" customHeight="1">
      <x:c r="A13" s="46" t="str">
        <x:v>NATURAL_1H_R1</x:v>
      </x:c>
      <x:c r="B13" s="47" t="str">
        <x:v>일반</x:v>
      </x:c>
      <x:c r="C13" s="47" t="str">
        <x:v>오픈열람실2</x:v>
      </x:c>
      <x:c r="D13" s="47" t="str">
        <x:v>자연자료실1 AP</x:v>
      </x:c>
      <x:c r="E13" s="47" t="str">
        <x:v>고정</x:v>
      </x:c>
      <x:c r="F13" s="48" t="n">
        <x:v>60</x:v>
      </x:c>
      <x:c r="G13" s="48" t="n">
        <x:v>1</x:v>
      </x:c>
      <x:c r="H13" s="48" t="n">
        <x:v>12</x:v>
      </x:c>
      <x:c r="I13" s="49" t="n">
        <x:v>-80</x:v>
      </x:c>
      <x:c r="J13" s="49" t="n">
        <x:v>960.75</x:v>
      </x:c>
      <x:c r="K13" s="49" t="n">
        <x:v>14</x:v>
      </x:c>
      <x:c r="L13" s="49" t="n">
        <x:v>4</x:v>
      </x:c>
      <x:c r="M13" s="49" t="n">
        <x:v>0</x:v>
      </x:c>
      <x:c r="N13" s="49" t="n">
        <x:v>10.2683</x:v>
      </x:c>
      <x:c r="O13" s="49" t="n">
        <x:v>5.8557</x:v>
      </x:c>
      <x:c r="P13" s="49" t="n">
        <x:f>IF(OR(N13="",O13=""),"",2*N13*O13/(N13+O13))</x:f>
        <x:v>7.4582094157777234</x:v>
      </x:c>
      <x:c r="Q13" s="58" t="str">
        <x:v>오열에서_자연1_1시간 측정_1.jpg; 오열에서_자연1_1시간 측정_2.jpg</x:v>
      </x:c>
      <x:c r="R13" s="58" t="str">
        <x:v>기존 Excel 대응</x:v>
      </x:c>
      <x:c r="S13" s="59" t="str"/>
    </x:row>
    <x:row r="14" ht="15" hidden="0" customHeight="1">
      <x:c r="A14" s="46" t="str">
        <x:v>NATURAL_1H_R1</x:v>
      </x:c>
      <x:c r="B14" s="47" t="str">
        <x:v>일반</x:v>
      </x:c>
      <x:c r="C14" s="47" t="str">
        <x:v>오픈열람실2</x:v>
      </x:c>
      <x:c r="D14" s="47" t="str">
        <x:v>자연자료실1 AP</x:v>
      </x:c>
      <x:c r="E14" s="47" t="str">
        <x:v>고정</x:v>
      </x:c>
      <x:c r="F14" s="48" t="n">
        <x:v>60</x:v>
      </x:c>
      <x:c r="G14" s="48" t="n">
        <x:v>1</x:v>
      </x:c>
      <x:c r="H14" s="48" t="n">
        <x:v>13</x:v>
      </x:c>
      <x:c r="I14" s="49" t="n">
        <x:v>-80</x:v>
      </x:c>
      <x:c r="J14" s="49" t="n">
        <x:v>960.75</x:v>
      </x:c>
      <x:c r="K14" s="49" t="n">
        <x:v>23</x:v>
      </x:c>
      <x:c r="L14" s="49" t="n">
        <x:v>6</x:v>
      </x:c>
      <x:c r="M14" s="49" t="n">
        <x:v>0</x:v>
      </x:c>
      <x:c r="N14" s="49" t="n">
        <x:v>10.0436</x:v>
      </x:c>
      <x:c r="O14" s="49" t="n">
        <x:v>6.6943</x:v>
      </x:c>
      <x:c r="P14" s="49" t="n">
        <x:f>IF(OR(N14="",O14=""),"",2*N14*O14/(N14+O14))</x:f>
        <x:v>8.033847911625712</x:v>
      </x:c>
      <x:c r="Q14" s="58" t="str">
        <x:v>오열에서_자연1_1시간 측정_1.jpg; 오열에서_자연1_1시간 측정_2.jpg</x:v>
      </x:c>
      <x:c r="R14" s="58" t="str">
        <x:v>기존 Excel 대응</x:v>
      </x:c>
      <x:c r="S14" s="59" t="str"/>
    </x:row>
    <x:row r="15" ht="15" hidden="0" customHeight="1">
      <x:c r="A15" s="46" t="str">
        <x:v>NATURAL_1H_R1</x:v>
      </x:c>
      <x:c r="B15" s="47" t="str">
        <x:v>일반</x:v>
      </x:c>
      <x:c r="C15" s="47" t="str">
        <x:v>오픈열람실2</x:v>
      </x:c>
      <x:c r="D15" s="47" t="str">
        <x:v>자연자료실1 AP</x:v>
      </x:c>
      <x:c r="E15" s="47" t="str">
        <x:v>고정</x:v>
      </x:c>
      <x:c r="F15" s="48" t="n">
        <x:v>60</x:v>
      </x:c>
      <x:c r="G15" s="48" t="n">
        <x:v>1</x:v>
      </x:c>
      <x:c r="H15" s="48" t="n">
        <x:v>14</x:v>
      </x:c>
      <x:c r="I15" s="49" t="n">
        <x:v>-80</x:v>
      </x:c>
      <x:c r="J15" s="49" t="n">
        <x:v>960.75</x:v>
      </x:c>
      <x:c r="K15" s="49" t="n">
        <x:v>29</x:v>
      </x:c>
      <x:c r="L15" s="49" t="n">
        <x:v>5</x:v>
      </x:c>
      <x:c r="M15" s="49" t="n">
        <x:v>0</x:v>
      </x:c>
      <x:c r="N15" s="49" t="n">
        <x:v>13.389</x:v>
      </x:c>
      <x:c r="O15" s="49" t="n">
        <x:v>8.364</x:v>
      </x:c>
      <x:c r="P15" s="49" t="n">
        <x:f>IF(OR(N15="",O15=""),"",2*N15*O15/(N15+O15))</x:f>
        <x:v>10.29610591642532</x:v>
      </x:c>
      <x:c r="Q15" s="58" t="str">
        <x:v>오열에서_자연1_1시간 측정_1.jpg; 오열에서_자연1_1시간 측정_2.jpg</x:v>
      </x:c>
      <x:c r="R15" s="58" t="str">
        <x:v>기존 Excel 대응</x:v>
      </x:c>
      <x:c r="S15" s="59" t="str"/>
    </x:row>
    <x:row r="16" ht="15" hidden="0" customHeight="1">
      <x:c r="A16" s="46" t="str">
        <x:v>NATURAL_1H_R1</x:v>
      </x:c>
      <x:c r="B16" s="47" t="str">
        <x:v>일반</x:v>
      </x:c>
      <x:c r="C16" s="47" t="str">
        <x:v>오픈열람실2</x:v>
      </x:c>
      <x:c r="D16" s="47" t="str">
        <x:v>자연자료실1 AP</x:v>
      </x:c>
      <x:c r="E16" s="47" t="str">
        <x:v>고정</x:v>
      </x:c>
      <x:c r="F16" s="48" t="n">
        <x:v>60</x:v>
      </x:c>
      <x:c r="G16" s="48" t="n">
        <x:v>1</x:v>
      </x:c>
      <x:c r="H16" s="48" t="n">
        <x:v>15</x:v>
      </x:c>
      <x:c r="I16" s="49" t="n">
        <x:v>-82</x:v>
      </x:c>
      <x:c r="J16" s="49" t="n">
        <x:v>960.75</x:v>
      </x:c>
      <x:c r="K16" s="49" t="n">
        <x:v>25</x:v>
      </x:c>
      <x:c r="L16" s="49" t="n">
        <x:v>8</x:v>
      </x:c>
      <x:c r="M16" s="49" t="n">
        <x:v>0</x:v>
      </x:c>
      <x:c r="N16" s="49" t="n">
        <x:v>9.2179</x:v>
      </x:c>
      <x:c r="O16" s="49" t="n">
        <x:v>7.3166</x:v>
      </x:c>
      <x:c r="P16" s="49" t="n">
        <x:f>IF(OR(N16="",O16=""),"",2*N16*O16/(N16+O16))</x:f>
        <x:v>8.157934880401585</x:v>
      </x:c>
      <x:c r="Q16" s="58" t="str">
        <x:v>오열에서_자연1_1시간 측정_1.jpg; 오열에서_자연1_1시간 측정_2.jpg</x:v>
      </x:c>
      <x:c r="R16" s="58" t="str">
        <x:v>기존 Excel 대응</x:v>
      </x:c>
      <x:c r="S16" s="59" t="str"/>
    </x:row>
    <x:row r="17" ht="15" hidden="0" customHeight="1">
      <x:c r="A17" s="46" t="str">
        <x:v>NATURAL_1H_R1</x:v>
      </x:c>
      <x:c r="B17" s="47" t="str">
        <x:v>일반</x:v>
      </x:c>
      <x:c r="C17" s="47" t="str">
        <x:v>오픈열람실2</x:v>
      </x:c>
      <x:c r="D17" s="47" t="str">
        <x:v>자연자료실1 AP</x:v>
      </x:c>
      <x:c r="E17" s="47" t="str">
        <x:v>고정</x:v>
      </x:c>
      <x:c r="F17" s="48" t="n">
        <x:v>60</x:v>
      </x:c>
      <x:c r="G17" s="48" t="n">
        <x:v>1</x:v>
      </x:c>
      <x:c r="H17" s="48" t="n">
        <x:v>16</x:v>
      </x:c>
      <x:c r="I17" s="49" t="n">
        <x:v>-81</x:v>
      </x:c>
      <x:c r="J17" s="49" t="n">
        <x:v>960.75</x:v>
      </x:c>
      <x:c r="K17" s="49" t="n">
        <x:v>16</x:v>
      </x:c>
      <x:c r="L17" s="49" t="n">
        <x:v>6</x:v>
      </x:c>
      <x:c r="M17" s="49" t="n">
        <x:v>0</x:v>
      </x:c>
      <x:c r="N17" s="49" t="n">
        <x:v>12.5357</x:v>
      </x:c>
      <x:c r="O17" s="49" t="n">
        <x:v>6.6813</x:v>
      </x:c>
      <x:c r="P17" s="49" t="n">
        <x:f>IF(OR(N17="",O17=""),"",2*N17*O17/(N17+O17))</x:f>
        <x:v>8.716737514700526</x:v>
      </x:c>
      <x:c r="Q17" s="58" t="str">
        <x:v>오열에서_자연1_1시간 측정_1.jpg; 오열에서_자연1_1시간 측정_2.jpg</x:v>
      </x:c>
      <x:c r="R17" s="58" t="str">
        <x:v>기존 Excel 대응</x:v>
      </x:c>
      <x:c r="S17" s="59" t="str"/>
    </x:row>
    <x:row r="18" ht="15" hidden="0" customHeight="1">
      <x:c r="A18" s="46" t="str">
        <x:v>NATURAL_1H_R1</x:v>
      </x:c>
      <x:c r="B18" s="47" t="str">
        <x:v>일반</x:v>
      </x:c>
      <x:c r="C18" s="47" t="str">
        <x:v>오픈열람실2</x:v>
      </x:c>
      <x:c r="D18" s="47" t="str">
        <x:v>자연자료실1 AP</x:v>
      </x:c>
      <x:c r="E18" s="47" t="str">
        <x:v>고정</x:v>
      </x:c>
      <x:c r="F18" s="48" t="n">
        <x:v>60</x:v>
      </x:c>
      <x:c r="G18" s="48" t="n">
        <x:v>1</x:v>
      </x:c>
      <x:c r="H18" s="48" t="n">
        <x:v>17</x:v>
      </x:c>
      <x:c r="I18" s="49" t="n">
        <x:v>-81</x:v>
      </x:c>
      <x:c r="J18" s="49" t="n">
        <x:v>960.75</x:v>
      </x:c>
      <x:c r="K18" s="49" t="n">
        <x:v>20</x:v>
      </x:c>
      <x:c r="L18" s="49" t="n">
        <x:v>21</x:v>
      </x:c>
      <x:c r="M18" s="49" t="n">
        <x:v>0</x:v>
      </x:c>
      <x:c r="N18" s="49" t="n">
        <x:v>10.0369</x:v>
      </x:c>
      <x:c r="O18" s="49" t="n">
        <x:v>5.2141</x:v>
      </x:c>
      <x:c r="P18" s="49" t="n">
        <x:f>IF(OR(N18="",O18=""),"",2*N18*O18/(N18+O18))</x:f>
        <x:v>6.8629467300504885</x:v>
      </x:c>
      <x:c r="Q18" s="58" t="str">
        <x:v>오열에서_자연1_1시간 측정_1.jpg; 오열에서_자연1_1시간 측정_2.jpg</x:v>
      </x:c>
      <x:c r="R18" s="58" t="str">
        <x:v>기존 Excel 대응</x:v>
      </x:c>
      <x:c r="S18" s="59" t="str"/>
    </x:row>
    <x:row r="19" ht="15" hidden="0" customHeight="1">
      <x:c r="A19" s="46" t="str">
        <x:v>NATURAL_1H_R1</x:v>
      </x:c>
      <x:c r="B19" s="47" t="str">
        <x:v>일반</x:v>
      </x:c>
      <x:c r="C19" s="47" t="str">
        <x:v>오픈열람실2</x:v>
      </x:c>
      <x:c r="D19" s="47" t="str">
        <x:v>자연자료실1 AP</x:v>
      </x:c>
      <x:c r="E19" s="47" t="str">
        <x:v>고정</x:v>
      </x:c>
      <x:c r="F19" s="48" t="n">
        <x:v>60</x:v>
      </x:c>
      <x:c r="G19" s="48" t="n">
        <x:v>1</x:v>
      </x:c>
      <x:c r="H19" s="48" t="n">
        <x:v>18</x:v>
      </x:c>
      <x:c r="I19" s="49" t="n">
        <x:v>-81</x:v>
      </x:c>
      <x:c r="J19" s="49" t="n">
        <x:v>960.75</x:v>
      </x:c>
      <x:c r="K19" s="49" t="n">
        <x:v>15</x:v>
      </x:c>
      <x:c r="L19" s="49" t="n">
        <x:v>5</x:v>
      </x:c>
      <x:c r="M19" s="49" t="n">
        <x:v>0</x:v>
      </x:c>
      <x:c r="N19" s="49" t="n">
        <x:v>6.4851</x:v>
      </x:c>
      <x:c r="O19" s="49" t="n">
        <x:v>7.3382</x:v>
      </x:c>
      <x:c r="P19" s="49" t="n">
        <x:f>IF(OR(N19="",O19=""),"",2*N19*O19/(N19+O19))</x:f>
        <x:v>6.885325619786881</x:v>
      </x:c>
      <x:c r="Q19" s="58" t="str">
        <x:v>오열에서_자연1_1시간 측정_1.jpg; 오열에서_자연1_1시간 측정_2.jpg</x:v>
      </x:c>
      <x:c r="R19" s="58" t="str">
        <x:v>기존 Excel 대응</x:v>
      </x:c>
      <x:c r="S19" s="59" t="str"/>
    </x:row>
    <x:row r="20" ht="15" hidden="0" customHeight="1">
      <x:c r="A20" s="46" t="str">
        <x:v>NATURAL_1H_R1</x:v>
      </x:c>
      <x:c r="B20" s="47" t="str">
        <x:v>일반</x:v>
      </x:c>
      <x:c r="C20" s="47" t="str">
        <x:v>오픈열람실2</x:v>
      </x:c>
      <x:c r="D20" s="47" t="str">
        <x:v>자연자료실1 AP</x:v>
      </x:c>
      <x:c r="E20" s="47" t="str">
        <x:v>고정</x:v>
      </x:c>
      <x:c r="F20" s="48" t="n">
        <x:v>60</x:v>
      </x:c>
      <x:c r="G20" s="48" t="n">
        <x:v>1</x:v>
      </x:c>
      <x:c r="H20" s="48" t="n">
        <x:v>19</x:v>
      </x:c>
      <x:c r="I20" s="49" t="n">
        <x:v>-81</x:v>
      </x:c>
      <x:c r="J20" s="49" t="n">
        <x:v>960.75</x:v>
      </x:c>
      <x:c r="K20" s="49" t="n">
        <x:v>12</x:v>
      </x:c>
      <x:c r="L20" s="49" t="n">
        <x:v>4</x:v>
      </x:c>
      <x:c r="M20" s="49" t="n">
        <x:v>0</x:v>
      </x:c>
      <x:c r="N20" s="49" t="n">
        <x:v>4.4011</x:v>
      </x:c>
      <x:c r="O20" s="49" t="n">
        <x:v>7.7419</x:v>
      </x:c>
      <x:c r="P20" s="49" t="n">
        <x:f>IF(OR(N20="",O20=""),"",2*N20*O20/(N20+O20))</x:f>
        <x:v>5.611937097916495</x:v>
      </x:c>
      <x:c r="Q20" s="58" t="str">
        <x:v>오열에서_자연1_1시간 측정_1.jpg; 오열에서_자연1_1시간 측정_2.jpg</x:v>
      </x:c>
      <x:c r="R20" s="58" t="str">
        <x:v>기존 Excel 대응</x:v>
      </x:c>
      <x:c r="S20" s="59" t="str"/>
    </x:row>
    <x:row r="21" ht="15" hidden="0" customHeight="1">
      <x:c r="A21" s="46" t="str">
        <x:v>NATURAL_1H_R1</x:v>
      </x:c>
      <x:c r="B21" s="47" t="str">
        <x:v>일반</x:v>
      </x:c>
      <x:c r="C21" s="47" t="str">
        <x:v>오픈열람실2</x:v>
      </x:c>
      <x:c r="D21" s="47" t="str">
        <x:v>자연자료실1 AP</x:v>
      </x:c>
      <x:c r="E21" s="47" t="str">
        <x:v>고정</x:v>
      </x:c>
      <x:c r="F21" s="48" t="n">
        <x:v>60</x:v>
      </x:c>
      <x:c r="G21" s="48" t="n">
        <x:v>1</x:v>
      </x:c>
      <x:c r="H21" s="48" t="n">
        <x:v>20</x:v>
      </x:c>
      <x:c r="I21" s="49" t="n">
        <x:v>-80</x:v>
      </x:c>
      <x:c r="J21" s="49" t="n">
        <x:v>960.75</x:v>
      </x:c>
      <x:c r="K21" s="49" t="n">
        <x:v>19</x:v>
      </x:c>
      <x:c r="L21" s="49" t="n">
        <x:v>3</x:v>
      </x:c>
      <x:c r="M21" s="49" t="n">
        <x:v>0</x:v>
      </x:c>
      <x:c r="N21" s="49" t="n">
        <x:v>6.7025</x:v>
      </x:c>
      <x:c r="O21" s="49" t="n">
        <x:v>4.7976</x:v>
      </x:c>
      <x:c r="P21" s="49" t="n">
        <x:f>IF(OR(N21="",O21=""),"",2*N21*O21/(N21+O21))</x:f>
        <x:v>5.592284241006599</x:v>
      </x:c>
      <x:c r="Q21" s="58" t="str">
        <x:v>오열에서_자연1_1시간 측정_1.jpg; 오열에서_자연1_1시간 측정_2.jpg</x:v>
      </x:c>
      <x:c r="R21" s="58" t="str">
        <x:v>기존 Excel 대응</x:v>
      </x:c>
      <x:c r="S21" s="59" t="str"/>
    </x:row>
    <x:row r="22" ht="15" hidden="0" customHeight="1">
      <x:c r="A22" s="46" t="str">
        <x:v>NATURAL_1H_R1</x:v>
      </x:c>
      <x:c r="B22" s="47" t="str">
        <x:v>일반</x:v>
      </x:c>
      <x:c r="C22" s="47" t="str">
        <x:v>오픈열람실2</x:v>
      </x:c>
      <x:c r="D22" s="47" t="str">
        <x:v>자연자료실1 AP</x:v>
      </x:c>
      <x:c r="E22" s="47" t="str">
        <x:v>고정</x:v>
      </x:c>
      <x:c r="F22" s="48" t="n">
        <x:v>60</x:v>
      </x:c>
      <x:c r="G22" s="48" t="n">
        <x:v>1</x:v>
      </x:c>
      <x:c r="H22" s="48" t="n">
        <x:v>21</x:v>
      </x:c>
      <x:c r="I22" s="49" t="n">
        <x:v>-81</x:v>
      </x:c>
      <x:c r="J22" s="49" t="n">
        <x:v>960.75</x:v>
      </x:c>
      <x:c r="K22" s="49" t="n">
        <x:v>19</x:v>
      </x:c>
      <x:c r="L22" s="49" t="n">
        <x:v>3</x:v>
      </x:c>
      <x:c r="M22" s="49" t="n">
        <x:v>0</x:v>
      </x:c>
      <x:c r="N22" s="49" t="n">
        <x:v>7.9521</x:v>
      </x:c>
      <x:c r="O22" s="49" t="n">
        <x:v>5.8633</x:v>
      </x:c>
      <x:c r="P22" s="49" t="n">
        <x:f>IF(OR(N22="",O22=""),"",2*N22*O22/(N22+O22))</x:f>
        <x:v>6.749793408804667</x:v>
      </x:c>
      <x:c r="Q22" s="58" t="str">
        <x:v>오열에서_자연1_1시간 측정_1.jpg; 오열에서_자연1_1시간 측정_2.jpg</x:v>
      </x:c>
      <x:c r="R22" s="58" t="str">
        <x:v>기존 Excel 대응</x:v>
      </x:c>
      <x:c r="S22" s="59" t="str"/>
    </x:row>
    <x:row r="23" ht="15" hidden="0" customHeight="1">
      <x:c r="A23" s="46" t="str">
        <x:v>NATURAL_1H_R1</x:v>
      </x:c>
      <x:c r="B23" s="47" t="str">
        <x:v>일반</x:v>
      </x:c>
      <x:c r="C23" s="47" t="str">
        <x:v>오픈열람실2</x:v>
      </x:c>
      <x:c r="D23" s="47" t="str">
        <x:v>자연자료실1 AP</x:v>
      </x:c>
      <x:c r="E23" s="47" t="str">
        <x:v>고정</x:v>
      </x:c>
      <x:c r="F23" s="48" t="n">
        <x:v>60</x:v>
      </x:c>
      <x:c r="G23" s="48" t="n">
        <x:v>1</x:v>
      </x:c>
      <x:c r="H23" s="48" t="n">
        <x:v>22</x:v>
      </x:c>
      <x:c r="I23" s="49" t="n">
        <x:v>-97</x:v>
      </x:c>
      <x:c r="J23" s="49" t="n">
        <x:v>960.75</x:v>
      </x:c>
      <x:c r="K23" s="49" t="n">
        <x:v>37</x:v>
      </x:c>
      <x:c r="L23" s="49" t="n">
        <x:v>6</x:v>
      </x:c>
      <x:c r="M23" s="49" t="n">
        <x:v>0</x:v>
      </x:c>
      <x:c r="N23" s="49" t="n">
        <x:v>6.0704</x:v>
      </x:c>
      <x:c r="O23" s="49" t="n">
        <x:v>4.5778</x:v>
      </x:c>
      <x:c r="P23" s="49" t="n">
        <x:f>IF(OR(N23="",O23=""),"",2*N23*O23/(N23+O23))</x:f>
        <x:v>5.219488198944423</x:v>
      </x:c>
      <x:c r="Q23" s="58" t="str">
        <x:v>오열에서_자연1_1시간 측정_1.jpg; 오열에서_자연1_1시간 측정_2.jpg</x:v>
      </x:c>
      <x:c r="R23" s="58" t="str">
        <x:v>기존 Excel 대응</x:v>
      </x:c>
      <x:c r="S23" s="59" t="str"/>
    </x:row>
    <x:row r="24" ht="15" hidden="0" customHeight="1">
      <x:c r="A24" s="46" t="str">
        <x:v>NATURAL_1H_R1</x:v>
      </x:c>
      <x:c r="B24" s="47" t="str">
        <x:v>일반</x:v>
      </x:c>
      <x:c r="C24" s="47" t="str">
        <x:v>오픈열람실2</x:v>
      </x:c>
      <x:c r="D24" s="47" t="str">
        <x:v>자연자료실1 AP</x:v>
      </x:c>
      <x:c r="E24" s="47" t="str">
        <x:v>고정</x:v>
      </x:c>
      <x:c r="F24" s="48" t="n">
        <x:v>60</x:v>
      </x:c>
      <x:c r="G24" s="48" t="n">
        <x:v>1</x:v>
      </x:c>
      <x:c r="H24" s="48" t="n">
        <x:v>23</x:v>
      </x:c>
      <x:c r="I24" s="49" t="n">
        <x:v>-80</x:v>
      </x:c>
      <x:c r="J24" s="49" t="n">
        <x:v>960.75</x:v>
      </x:c>
      <x:c r="K24" s="49" t="n">
        <x:v>14</x:v>
      </x:c>
      <x:c r="L24" s="49" t="n">
        <x:v>4</x:v>
      </x:c>
      <x:c r="M24" s="49" t="n">
        <x:v>0</x:v>
      </x:c>
      <x:c r="N24" s="49" t="n">
        <x:v>7.7435</x:v>
      </x:c>
      <x:c r="O24" s="49" t="n">
        <x:v>8.774</x:v>
      </x:c>
      <x:c r="P24" s="49" t="n">
        <x:f>IF(OR(N24="",O24=""),"",2*N24*O24/(N24+O24))</x:f>
        <x:v>8.226604389284093</x:v>
      </x:c>
      <x:c r="Q24" s="58" t="str">
        <x:v>오열에서_자연1_1시간 측정_1.jpg; 오열에서_자연1_1시간 측정_2.jpg</x:v>
      </x:c>
      <x:c r="R24" s="58" t="str">
        <x:v>기존 Excel 대응</x:v>
      </x:c>
      <x:c r="S24" s="59" t="str"/>
    </x:row>
    <x:row r="25" ht="15" hidden="0" customHeight="1">
      <x:c r="A25" s="46" t="str">
        <x:v>NATURAL_1H_R1</x:v>
      </x:c>
      <x:c r="B25" s="47" t="str">
        <x:v>일반</x:v>
      </x:c>
      <x:c r="C25" s="47" t="str">
        <x:v>오픈열람실2</x:v>
      </x:c>
      <x:c r="D25" s="47" t="str">
        <x:v>자연자료실1 AP</x:v>
      </x:c>
      <x:c r="E25" s="47" t="str">
        <x:v>고정</x:v>
      </x:c>
      <x:c r="F25" s="48" t="n">
        <x:v>60</x:v>
      </x:c>
      <x:c r="G25" s="48" t="n">
        <x:v>1</x:v>
      </x:c>
      <x:c r="H25" s="48" t="n">
        <x:v>24</x:v>
      </x:c>
      <x:c r="I25" s="49" t="n">
        <x:v>-81</x:v>
      </x:c>
      <x:c r="J25" s="49" t="n">
        <x:v>960.75</x:v>
      </x:c>
      <x:c r="K25" s="49" t="n">
        <x:v>11</x:v>
      </x:c>
      <x:c r="L25" s="49" t="n">
        <x:v>4</x:v>
      </x:c>
      <x:c r="M25" s="49" t="n">
        <x:v>0</x:v>
      </x:c>
      <x:c r="N25" s="49" t="n">
        <x:v>14.01</x:v>
      </x:c>
      <x:c r="O25" s="49" t="n">
        <x:v>11.2918</x:v>
      </x:c>
      <x:c r="P25" s="49" t="n">
        <x:f>IF(OR(N25="",O25=""),"",2*N25*O25/(N25+O25))</x:f>
        <x:v>12.504890403054327</x:v>
      </x:c>
      <x:c r="Q25" s="58" t="str">
        <x:v>오열에서_자연1_1시간 측정_1.jpg; 오열에서_자연1_1시간 측정_2.jpg</x:v>
      </x:c>
      <x:c r="R25" s="58" t="str">
        <x:v>기존 Excel 대응</x:v>
      </x:c>
      <x:c r="S25" s="59" t="str"/>
    </x:row>
    <x:row r="26" ht="15" hidden="0" customHeight="1">
      <x:c r="A26" s="46" t="str">
        <x:v>NATURAL_1H_R1</x:v>
      </x:c>
      <x:c r="B26" s="47" t="str">
        <x:v>일반</x:v>
      </x:c>
      <x:c r="C26" s="47" t="str">
        <x:v>오픈열람실2</x:v>
      </x:c>
      <x:c r="D26" s="47" t="str">
        <x:v>자연자료실1 AP</x:v>
      </x:c>
      <x:c r="E26" s="47" t="str">
        <x:v>고정</x:v>
      </x:c>
      <x:c r="F26" s="48" t="n">
        <x:v>60</x:v>
      </x:c>
      <x:c r="G26" s="48" t="n">
        <x:v>1</x:v>
      </x:c>
      <x:c r="H26" s="48" t="n">
        <x:v>25</x:v>
      </x:c>
      <x:c r="I26" s="49" t="n">
        <x:v>-80</x:v>
      </x:c>
      <x:c r="J26" s="49" t="n">
        <x:v>960.75</x:v>
      </x:c>
      <x:c r="K26" s="49" t="n">
        <x:v>23</x:v>
      </x:c>
      <x:c r="L26" s="49" t="n">
        <x:v>4</x:v>
      </x:c>
      <x:c r="M26" s="49" t="n">
        <x:v>0</x:v>
      </x:c>
      <x:c r="N26" s="49" t="n">
        <x:v>9.6264</x:v>
      </x:c>
      <x:c r="O26" s="49" t="n">
        <x:v>4.5956</x:v>
      </x:c>
      <x:c r="P26" s="49" t="n">
        <x:f>IF(OR(N26="",O26=""),"",2*N26*O26/(N26+O26))</x:f>
        <x:v>6.221218371537055</x:v>
      </x:c>
      <x:c r="Q26" s="58" t="str">
        <x:v>오열에서_자연1_1시간 측정_1.jpg; 오열에서_자연1_1시간 측정_2.jpg</x:v>
      </x:c>
      <x:c r="R26" s="58" t="str">
        <x:v>기존 Excel 대응</x:v>
      </x:c>
      <x:c r="S26" s="59" t="str"/>
    </x:row>
    <x:row r="27" ht="15" hidden="0" customHeight="1">
      <x:c r="A27" s="46" t="str">
        <x:v>NATURAL_1H_R1</x:v>
      </x:c>
      <x:c r="B27" s="47" t="str">
        <x:v>일반</x:v>
      </x:c>
      <x:c r="C27" s="47" t="str">
        <x:v>오픈열람실2</x:v>
      </x:c>
      <x:c r="D27" s="47" t="str">
        <x:v>자연자료실1 AP</x:v>
      </x:c>
      <x:c r="E27" s="47" t="str">
        <x:v>고정</x:v>
      </x:c>
      <x:c r="F27" s="48" t="n">
        <x:v>60</x:v>
      </x:c>
      <x:c r="G27" s="48" t="n">
        <x:v>1</x:v>
      </x:c>
      <x:c r="H27" s="48" t="n">
        <x:v>26</x:v>
      </x:c>
      <x:c r="I27" s="49" t="n">
        <x:v>-80</x:v>
      </x:c>
      <x:c r="J27" s="49" t="n">
        <x:v>960.75</x:v>
      </x:c>
      <x:c r="K27" s="49" t="n">
        <x:v>17</x:v>
      </x:c>
      <x:c r="L27" s="49" t="n">
        <x:v>4</x:v>
      </x:c>
      <x:c r="M27" s="49" t="n">
        <x:v>0</x:v>
      </x:c>
      <x:c r="N27" s="49" t="n">
        <x:v>9.4196</x:v>
      </x:c>
      <x:c r="O27" s="49" t="n">
        <x:v>6.0781</x:v>
      </x:c>
      <x:c r="P27" s="49" t="n">
        <x:f>IF(OR(N27="",O27=""),"",2*N27*O27/(N27+O27))</x:f>
        <x:v>7.388615182898107</x:v>
      </x:c>
      <x:c r="Q27" s="58" t="str">
        <x:v>오열에서_자연1_1시간 측정_1.jpg; 오열에서_자연1_1시간 측정_2.jpg</x:v>
      </x:c>
      <x:c r="R27" s="58" t="str">
        <x:v>기존 Excel 대응</x:v>
      </x:c>
      <x:c r="S27" s="59" t="str"/>
    </x:row>
    <x:row r="28" ht="15" hidden="0" customHeight="1">
      <x:c r="A28" s="46" t="str">
        <x:v>NATURAL_1H_R1</x:v>
      </x:c>
      <x:c r="B28" s="47" t="str">
        <x:v>일반</x:v>
      </x:c>
      <x:c r="C28" s="47" t="str">
        <x:v>오픈열람실2</x:v>
      </x:c>
      <x:c r="D28" s="47" t="str">
        <x:v>자연자료실1 AP</x:v>
      </x:c>
      <x:c r="E28" s="47" t="str">
        <x:v>고정</x:v>
      </x:c>
      <x:c r="F28" s="48" t="n">
        <x:v>60</x:v>
      </x:c>
      <x:c r="G28" s="48" t="n">
        <x:v>1</x:v>
      </x:c>
      <x:c r="H28" s="48" t="n">
        <x:v>27</x:v>
      </x:c>
      <x:c r="I28" s="49" t="n">
        <x:v>-81</x:v>
      </x:c>
      <x:c r="J28" s="49" t="n">
        <x:v>960.75</x:v>
      </x:c>
      <x:c r="K28" s="49" t="n">
        <x:v>16</x:v>
      </x:c>
      <x:c r="L28" s="49" t="n">
        <x:v>6</x:v>
      </x:c>
      <x:c r="M28" s="49" t="n">
        <x:v>0</x:v>
      </x:c>
      <x:c r="N28" s="49" t="n">
        <x:v>15.0614</x:v>
      </x:c>
      <x:c r="O28" s="49" t="n">
        <x:v>5.4291</x:v>
      </x:c>
      <x:c r="P28" s="49" t="n">
        <x:f>IF(OR(N28="",O28=""),"",2*N28*O28/(N28+O28))</x:f>
        <x:v>7.981244648983676</x:v>
      </x:c>
      <x:c r="Q28" s="58" t="str">
        <x:v>오열에서_자연1_1시간 측정_1.jpg; 오열에서_자연1_1시간 측정_2.jpg</x:v>
      </x:c>
      <x:c r="R28" s="58" t="str">
        <x:v>기존 Excel 대응</x:v>
      </x:c>
      <x:c r="S28" s="59" t="str"/>
    </x:row>
    <x:row r="29" ht="15" hidden="0" customHeight="1">
      <x:c r="A29" s="46" t="str">
        <x:v>NATURAL_1H_R1</x:v>
      </x:c>
      <x:c r="B29" s="47" t="str">
        <x:v>일반</x:v>
      </x:c>
      <x:c r="C29" s="47" t="str">
        <x:v>오픈열람실2</x:v>
      </x:c>
      <x:c r="D29" s="47" t="str">
        <x:v>자연자료실1 AP</x:v>
      </x:c>
      <x:c r="E29" s="47" t="str">
        <x:v>고정</x:v>
      </x:c>
      <x:c r="F29" s="48" t="n">
        <x:v>60</x:v>
      </x:c>
      <x:c r="G29" s="48" t="n">
        <x:v>1</x:v>
      </x:c>
      <x:c r="H29" s="48" t="n">
        <x:v>28</x:v>
      </x:c>
      <x:c r="I29" s="49" t="n">
        <x:v>-80</x:v>
      </x:c>
      <x:c r="J29" s="49" t="n">
        <x:v>960.75</x:v>
      </x:c>
      <x:c r="K29" s="49" t="n">
        <x:v>27</x:v>
      </x:c>
      <x:c r="L29" s="49" t="n">
        <x:v>5</x:v>
      </x:c>
      <x:c r="M29" s="49" t="n">
        <x:v>0</x:v>
      </x:c>
      <x:c r="N29" s="49" t="n">
        <x:v>7.9507</x:v>
      </x:c>
      <x:c r="O29" s="49" t="n">
        <x:v>6.6695</x:v>
      </x:c>
      <x:c r="P29" s="49" t="n">
        <x:f>IF(OR(N29="",O29=""),"",2*N29*O29/(N29+O29))</x:f>
        <x:v>7.253962825405945</x:v>
      </x:c>
      <x:c r="Q29" s="58" t="str">
        <x:v>오열에서_자연1_1시간 측정_1.jpg; 오열에서_자연1_1시간 측정_2.jpg</x:v>
      </x:c>
      <x:c r="R29" s="58" t="str">
        <x:v>기존 Excel 대응</x:v>
      </x:c>
      <x:c r="S29" s="59" t="str"/>
    </x:row>
    <x:row r="30" ht="15" hidden="0" customHeight="1">
      <x:c r="A30" s="46" t="str">
        <x:v>NATURAL_1H_R1</x:v>
      </x:c>
      <x:c r="B30" s="47" t="str">
        <x:v>일반</x:v>
      </x:c>
      <x:c r="C30" s="47" t="str">
        <x:v>오픈열람실2</x:v>
      </x:c>
      <x:c r="D30" s="47" t="str">
        <x:v>자연자료실1 AP</x:v>
      </x:c>
      <x:c r="E30" s="47" t="str">
        <x:v>고정</x:v>
      </x:c>
      <x:c r="F30" s="48" t="n">
        <x:v>60</x:v>
      </x:c>
      <x:c r="G30" s="48" t="n">
        <x:v>1</x:v>
      </x:c>
      <x:c r="H30" s="48" t="n">
        <x:v>29</x:v>
      </x:c>
      <x:c r="I30" s="49" t="n">
        <x:v>-80</x:v>
      </x:c>
      <x:c r="J30" s="49" t="n">
        <x:v>960.75</x:v>
      </x:c>
      <x:c r="K30" s="49" t="n">
        <x:v>17</x:v>
      </x:c>
      <x:c r="L30" s="49" t="n">
        <x:v>4</x:v>
      </x:c>
      <x:c r="M30" s="49" t="n">
        <x:v>0</x:v>
      </x:c>
      <x:c r="N30" s="49" t="n">
        <x:v>17.5498</x:v>
      </x:c>
      <x:c r="O30" s="49" t="n">
        <x:v>8.3829</x:v>
      </x:c>
      <x:c r="P30" s="49" t="n">
        <x:f>IF(OR(N30="",O30=""),"",2*N30*O30/(N30+O30))</x:f>
        <x:v>11.346155118441196</x:v>
      </x:c>
      <x:c r="Q30" s="58" t="str">
        <x:v>오열에서_자연1_1시간 측정_1.jpg; 오열에서_자연1_1시간 측정_2.jpg</x:v>
      </x:c>
      <x:c r="R30" s="58" t="str">
        <x:v>기존 Excel 대응</x:v>
      </x:c>
      <x:c r="S30" s="59" t="str"/>
    </x:row>
    <x:row r="31" ht="15" hidden="0" customHeight="1">
      <x:c r="A31" s="46" t="str">
        <x:v>NATURAL_1H_R1</x:v>
      </x:c>
      <x:c r="B31" s="47" t="str">
        <x:v>일반</x:v>
      </x:c>
      <x:c r="C31" s="47" t="str">
        <x:v>오픈열람실2</x:v>
      </x:c>
      <x:c r="D31" s="47" t="str">
        <x:v>자연자료실1 AP</x:v>
      </x:c>
      <x:c r="E31" s="47" t="str">
        <x:v>고정</x:v>
      </x:c>
      <x:c r="F31" s="48" t="n">
        <x:v>60</x:v>
      </x:c>
      <x:c r="G31" s="48" t="n">
        <x:v>1</x:v>
      </x:c>
      <x:c r="H31" s="48" t="n">
        <x:v>30</x:v>
      </x:c>
      <x:c r="I31" s="49" t="n">
        <x:v>-80</x:v>
      </x:c>
      <x:c r="J31" s="49" t="n">
        <x:v>960.75</x:v>
      </x:c>
      <x:c r="K31" s="49" t="n">
        <x:v>13</x:v>
      </x:c>
      <x:c r="L31" s="49" t="n">
        <x:v>4</x:v>
      </x:c>
      <x:c r="M31" s="49" t="n">
        <x:v>0</x:v>
      </x:c>
      <x:c r="N31" s="49" t="n">
        <x:v>12.5695</x:v>
      </x:c>
      <x:c r="O31" s="49" t="n">
        <x:v>8.1606</x:v>
      </x:c>
      <x:c r="P31" s="49" t="n">
        <x:f>IF(OR(N31="",O31=""),"",2*N31*O31/(N31+O31))</x:f>
        <x:v>9.896205199203091</x:v>
      </x:c>
      <x:c r="Q31" s="58" t="str">
        <x:v>오열에서_자연1_1시간 측정_1.jpg; 오열에서_자연1_1시간 측정_2.jpg</x:v>
      </x:c>
      <x:c r="R31" s="58" t="str">
        <x:v>기존 Excel 대응</x:v>
      </x:c>
      <x:c r="S31" s="59" t="str"/>
    </x:row>
    <x:row r="32" ht="15" hidden="0" customHeight="1">
      <x:c r="A32" s="46" t="str">
        <x:v>NATURAL_1H_R1</x:v>
      </x:c>
      <x:c r="B32" s="47" t="str">
        <x:v>일반</x:v>
      </x:c>
      <x:c r="C32" s="47" t="str">
        <x:v>오픈열람실2</x:v>
      </x:c>
      <x:c r="D32" s="47" t="str">
        <x:v>자연자료실1 AP</x:v>
      </x:c>
      <x:c r="E32" s="47" t="str">
        <x:v>고정</x:v>
      </x:c>
      <x:c r="F32" s="48" t="n">
        <x:v>60</x:v>
      </x:c>
      <x:c r="G32" s="48" t="n">
        <x:v>1</x:v>
      </x:c>
      <x:c r="H32" s="48" t="n">
        <x:v>31</x:v>
      </x:c>
      <x:c r="I32" s="49" t="n">
        <x:v>-80</x:v>
      </x:c>
      <x:c r="J32" s="49" t="n">
        <x:v>960.75</x:v>
      </x:c>
      <x:c r="K32" s="49" t="n">
        <x:v>12</x:v>
      </x:c>
      <x:c r="L32" s="49" t="n">
        <x:v>4</x:v>
      </x:c>
      <x:c r="M32" s="49" t="n">
        <x:v>0</x:v>
      </x:c>
      <x:c r="N32" s="49" t="n">
        <x:v>8.3745</x:v>
      </x:c>
      <x:c r="O32" s="49" t="n">
        <x:v>5.2258</x:v>
      </x:c>
      <x:c r="P32" s="49" t="n">
        <x:f>IF(OR(N32="",O32=""),"",2*N32*O32/(N32+O32))</x:f>
        <x:v>6.435661286883377</x:v>
      </x:c>
      <x:c r="Q32" s="58" t="str">
        <x:v>오열에서_자연1_1시간 측정_1.jpg; 오열에서_자연1_1시간 측정_2.jpg</x:v>
      </x:c>
      <x:c r="R32" s="58" t="str">
        <x:v>기존 Excel 대응</x:v>
      </x:c>
      <x:c r="S32" s="59" t="str"/>
    </x:row>
    <x:row r="33" ht="15" hidden="0" customHeight="1">
      <x:c r="A33" s="46" t="str">
        <x:v>NATURAL_1H_R1</x:v>
      </x:c>
      <x:c r="B33" s="47" t="str">
        <x:v>일반</x:v>
      </x:c>
      <x:c r="C33" s="47" t="str">
        <x:v>오픈열람실2</x:v>
      </x:c>
      <x:c r="D33" s="47" t="str">
        <x:v>자연자료실1 AP</x:v>
      </x:c>
      <x:c r="E33" s="47" t="str">
        <x:v>고정</x:v>
      </x:c>
      <x:c r="F33" s="48" t="n">
        <x:v>60</x:v>
      </x:c>
      <x:c r="G33" s="48" t="n">
        <x:v>1</x:v>
      </x:c>
      <x:c r="H33" s="48" t="n">
        <x:v>32</x:v>
      </x:c>
      <x:c r="I33" s="49" t="n">
        <x:v>-81</x:v>
      </x:c>
      <x:c r="J33" s="49" t="n">
        <x:v>960.75</x:v>
      </x:c>
      <x:c r="K33" s="49" t="n">
        <x:v>16</x:v>
      </x:c>
      <x:c r="L33" s="49" t="n">
        <x:v>4</x:v>
      </x:c>
      <x:c r="M33" s="49" t="n">
        <x:v>0</x:v>
      </x:c>
      <x:c r="N33" s="49" t="n">
        <x:v>8.5954</x:v>
      </x:c>
      <x:c r="O33" s="49" t="n">
        <x:v>7.5245</x:v>
      </x:c>
      <x:c r="P33" s="49" t="n">
        <x:f>IF(OR(N33="",O33=""),"",2*N33*O33/(N33+O33))</x:f>
        <x:v>8.024378228152779</x:v>
      </x:c>
      <x:c r="Q33" s="58" t="str">
        <x:v>오열에서_자연1_1시간 측정_1.jpg; 오열에서_자연1_1시간 측정_2.jpg</x:v>
      </x:c>
      <x:c r="R33" s="58" t="str">
        <x:v>기존 Excel 대응</x:v>
      </x:c>
      <x:c r="S33" s="59" t="str"/>
    </x:row>
    <x:row r="34" ht="15" hidden="0" customHeight="1">
      <x:c r="A34" s="46" t="str">
        <x:v>NATURAL_1H_R1</x:v>
      </x:c>
      <x:c r="B34" s="47" t="str">
        <x:v>일반</x:v>
      </x:c>
      <x:c r="C34" s="47" t="str">
        <x:v>오픈열람실2</x:v>
      </x:c>
      <x:c r="D34" s="47" t="str">
        <x:v>자연자료실1 AP</x:v>
      </x:c>
      <x:c r="E34" s="47" t="str">
        <x:v>고정</x:v>
      </x:c>
      <x:c r="F34" s="48" t="n">
        <x:v>60</x:v>
      </x:c>
      <x:c r="G34" s="48" t="n">
        <x:v>1</x:v>
      </x:c>
      <x:c r="H34" s="48" t="n">
        <x:v>33</x:v>
      </x:c>
      <x:c r="I34" s="49" t="n">
        <x:v>-93</x:v>
      </x:c>
      <x:c r="J34" s="49" t="n">
        <x:v>960.75</x:v>
      </x:c>
      <x:c r="K34" s="49" t="n">
        <x:v>19</x:v>
      </x:c>
      <x:c r="L34" s="49" t="n">
        <x:v>5</x:v>
      </x:c>
      <x:c r="M34" s="49" t="n">
        <x:v>0</x:v>
      </x:c>
      <x:c r="N34" s="49" t="n">
        <x:v>9.2099</x:v>
      </x:c>
      <x:c r="O34" s="49" t="n">
        <x:v>7.9434</x:v>
      </x:c>
      <x:c r="P34" s="49" t="n">
        <x:f>IF(OR(N34="",O34=""),"",2*N34*O34/(N34+O34))</x:f>
        <x:v>8.52989449960066</x:v>
      </x:c>
      <x:c r="Q34" s="58" t="str">
        <x:v>오열에서_자연1_1시간 측정_1.jpg; 오열에서_자연1_1시간 측정_2.jpg</x:v>
      </x:c>
      <x:c r="R34" s="58" t="str">
        <x:v>기존 Excel 대응</x:v>
      </x:c>
      <x:c r="S34" s="59" t="str"/>
    </x:row>
    <x:row r="35" ht="15" hidden="0" customHeight="1">
      <x:c r="A35" s="46" t="str">
        <x:v>NATURAL_1H_R1</x:v>
      </x:c>
      <x:c r="B35" s="47" t="str">
        <x:v>일반</x:v>
      </x:c>
      <x:c r="C35" s="47" t="str">
        <x:v>오픈열람실2</x:v>
      </x:c>
      <x:c r="D35" s="47" t="str">
        <x:v>자연자료실1 AP</x:v>
      </x:c>
      <x:c r="E35" s="47" t="str">
        <x:v>고정</x:v>
      </x:c>
      <x:c r="F35" s="48" t="n">
        <x:v>60</x:v>
      </x:c>
      <x:c r="G35" s="48" t="n">
        <x:v>1</x:v>
      </x:c>
      <x:c r="H35" s="48" t="n">
        <x:v>34</x:v>
      </x:c>
      <x:c r="I35" s="49" t="n">
        <x:v>-80</x:v>
      </x:c>
      <x:c r="J35" s="49" t="n">
        <x:v>960.75</x:v>
      </x:c>
      <x:c r="K35" s="49" t="n">
        <x:v>27</x:v>
      </x:c>
      <x:c r="L35" s="49" t="n">
        <x:v>6</x:v>
      </x:c>
      <x:c r="M35" s="49" t="n">
        <x:v>0</x:v>
      </x:c>
      <x:c r="N35" s="49" t="n">
        <x:v>9.8298</x:v>
      </x:c>
      <x:c r="O35" s="49" t="n">
        <x:v>6.0679</x:v>
      </x:c>
      <x:c r="P35" s="49" t="n">
        <x:f>IF(OR(N35="",O35=""),"",2*N35*O35/(N35+O35))</x:f>
        <x:v>7.503757577511212</x:v>
      </x:c>
      <x:c r="Q35" s="58" t="str">
        <x:v>오열에서_자연1_1시간 측정_1.jpg; 오열에서_자연1_1시간 측정_2.jpg</x:v>
      </x:c>
      <x:c r="R35" s="58" t="str">
        <x:v>기존 Excel 대응</x:v>
      </x:c>
      <x:c r="S35" s="59" t="str"/>
    </x:row>
    <x:row r="36" ht="15" hidden="0" customHeight="1">
      <x:c r="A36" s="46" t="str">
        <x:v>NATURAL_1H_R1</x:v>
      </x:c>
      <x:c r="B36" s="47" t="str">
        <x:v>일반</x:v>
      </x:c>
      <x:c r="C36" s="47" t="str">
        <x:v>오픈열람실2</x:v>
      </x:c>
      <x:c r="D36" s="47" t="str">
        <x:v>자연자료실1 AP</x:v>
      </x:c>
      <x:c r="E36" s="47" t="str">
        <x:v>고정</x:v>
      </x:c>
      <x:c r="F36" s="48" t="n">
        <x:v>60</x:v>
      </x:c>
      <x:c r="G36" s="48" t="n">
        <x:v>1</x:v>
      </x:c>
      <x:c r="H36" s="48" t="n">
        <x:v>35</x:v>
      </x:c>
      <x:c r="I36" s="49" t="n">
        <x:v>-80</x:v>
      </x:c>
      <x:c r="J36" s="49" t="n">
        <x:v>960.75</x:v>
      </x:c>
      <x:c r="K36" s="49" t="n">
        <x:v>27</x:v>
      </x:c>
      <x:c r="L36" s="49" t="n">
        <x:v>5</x:v>
      </x:c>
      <x:c r="M36" s="49" t="n">
        <x:v>0</x:v>
      </x:c>
      <x:c r="N36" s="49" t="n">
        <x:v>17.1709</x:v>
      </x:c>
      <x:c r="O36" s="49" t="n">
        <x:v>8.1616</x:v>
      </x:c>
      <x:c r="P36" s="49" t="n">
        <x:f>IF(OR(N36="",O36=""),"",2*N36*O36/(N36+O36))</x:f>
        <x:v>11.064207436297245</x:v>
      </x:c>
      <x:c r="Q36" s="58" t="str">
        <x:v>오열에서_자연1_1시간 측정_1.jpg; 오열에서_자연1_1시간 측정_2.jpg</x:v>
      </x:c>
      <x:c r="R36" s="58" t="str">
        <x:v>기존 Excel 대응</x:v>
      </x:c>
      <x:c r="S36" s="59" t="str"/>
    </x:row>
    <x:row r="37" ht="15" hidden="0" customHeight="1">
      <x:c r="A37" s="46" t="str">
        <x:v>NATURAL_1H_R1</x:v>
      </x:c>
      <x:c r="B37" s="47" t="str">
        <x:v>일반</x:v>
      </x:c>
      <x:c r="C37" s="47" t="str">
        <x:v>오픈열람실2</x:v>
      </x:c>
      <x:c r="D37" s="47" t="str">
        <x:v>자연자료실1 AP</x:v>
      </x:c>
      <x:c r="E37" s="47" t="str">
        <x:v>고정</x:v>
      </x:c>
      <x:c r="F37" s="48" t="n">
        <x:v>60</x:v>
      </x:c>
      <x:c r="G37" s="48" t="n">
        <x:v>1</x:v>
      </x:c>
      <x:c r="H37" s="48" t="n">
        <x:v>36</x:v>
      </x:c>
      <x:c r="I37" s="49" t="n">
        <x:v>-81</x:v>
      </x:c>
      <x:c r="J37" s="49" t="n">
        <x:v>960.75</x:v>
      </x:c>
      <x:c r="K37" s="49" t="n">
        <x:v>16</x:v>
      </x:c>
      <x:c r="L37" s="49" t="n">
        <x:v>4</x:v>
      </x:c>
      <x:c r="M37" s="49" t="n">
        <x:v>0</x:v>
      </x:c>
      <x:c r="N37" s="49" t="n">
        <x:v>10.8847</x:v>
      </x:c>
      <x:c r="O37" s="49" t="n">
        <x:v>7.1092</x:v>
      </x:c>
      <x:c r="P37" s="49" t="n">
        <x:f>IF(OR(N37="",O37=""),"",2*N37*O37/(N37+O37))</x:f>
        <x:v>8.600860207070175</x:v>
      </x:c>
      <x:c r="Q37" s="58" t="str">
        <x:v>오열에서_자연1_1시간 측정_1.jpg; 오열에서_자연1_1시간 측정_2.jpg</x:v>
      </x:c>
      <x:c r="R37" s="58" t="str">
        <x:v>기존 Excel 대응</x:v>
      </x:c>
      <x:c r="S37" s="59" t="str"/>
    </x:row>
    <x:row r="38" ht="15" hidden="0" customHeight="1">
      <x:c r="A38" s="46" t="str">
        <x:v>NATURAL_1H_R1</x:v>
      </x:c>
      <x:c r="B38" s="47" t="str">
        <x:v>일반</x:v>
      </x:c>
      <x:c r="C38" s="47" t="str">
        <x:v>오픈열람실2</x:v>
      </x:c>
      <x:c r="D38" s="47" t="str">
        <x:v>자연자료실1 AP</x:v>
      </x:c>
      <x:c r="E38" s="47" t="str">
        <x:v>고정</x:v>
      </x:c>
      <x:c r="F38" s="48" t="n">
        <x:v>60</x:v>
      </x:c>
      <x:c r="G38" s="48" t="n">
        <x:v>1</x:v>
      </x:c>
      <x:c r="H38" s="48" t="n">
        <x:v>37</x:v>
      </x:c>
      <x:c r="I38" s="49" t="n">
        <x:v>-85</x:v>
      </x:c>
      <x:c r="J38" s="49" t="n">
        <x:v>960.75</x:v>
      </x:c>
      <x:c r="K38" s="49" t="n">
        <x:v>12</x:v>
      </x:c>
      <x:c r="L38" s="49" t="n">
        <x:v>5</x:v>
      </x:c>
      <x:c r="M38" s="49" t="n">
        <x:v>0</x:v>
      </x:c>
      <x:c r="N38" s="49" t="n">
        <x:v>9.8404</x:v>
      </x:c>
      <x:c r="O38" s="49" t="n">
        <x:v>12.7616</x:v>
      </x:c>
      <x:c r="P38" s="49" t="n">
        <x:f>IF(OR(N38="",O38=""),"",2*N38*O38/(N38+O38))</x:f>
        <x:v>11.112224461552076</x:v>
      </x:c>
      <x:c r="Q38" s="58" t="str">
        <x:v>오열에서_자연1_1시간 측정_1.jpg; 오열에서_자연1_1시간 측정_2.jpg</x:v>
      </x:c>
      <x:c r="R38" s="58" t="str">
        <x:v>기존 Excel 대응</x:v>
      </x:c>
      <x:c r="S38" s="59" t="str"/>
    </x:row>
    <x:row r="39" ht="15" hidden="0" customHeight="1">
      <x:c r="A39" s="46" t="str">
        <x:v>NATURAL_1H_R1</x:v>
      </x:c>
      <x:c r="B39" s="47" t="str">
        <x:v>일반</x:v>
      </x:c>
      <x:c r="C39" s="47" t="str">
        <x:v>오픈열람실2</x:v>
      </x:c>
      <x:c r="D39" s="47" t="str">
        <x:v>자연자료실1 AP</x:v>
      </x:c>
      <x:c r="E39" s="47" t="str">
        <x:v>고정</x:v>
      </x:c>
      <x:c r="F39" s="48" t="n">
        <x:v>60</x:v>
      </x:c>
      <x:c r="G39" s="48" t="n">
        <x:v>1</x:v>
      </x:c>
      <x:c r="H39" s="48" t="n">
        <x:v>38</x:v>
      </x:c>
      <x:c r="I39" s="49" t="n">
        <x:v>-82</x:v>
      </x:c>
      <x:c r="J39" s="49" t="n">
        <x:v>960.75</x:v>
      </x:c>
      <x:c r="K39" s="49" t="n">
        <x:v>13</x:v>
      </x:c>
      <x:c r="L39" s="49" t="n">
        <x:v>3</x:v>
      </x:c>
      <x:c r="M39" s="49" t="n">
        <x:v>0</x:v>
      </x:c>
      <x:c r="N39" s="49" t="n">
        <x:v>8.7824</x:v>
      </x:c>
      <x:c r="O39" s="49" t="n">
        <x:v>8.1484</x:v>
      </x:c>
      <x:c r="P39" s="49" t="n">
        <x:f>IF(OR(N39="",O39=""),"",2*N39*O39/(N39+O39))</x:f>
        <x:v>8.453529444562573</x:v>
      </x:c>
      <x:c r="Q39" s="58" t="str">
        <x:v>오열에서_자연1_1시간 측정_1.jpg; 오열에서_자연1_1시간 측정_2.jpg</x:v>
      </x:c>
      <x:c r="R39" s="58" t="str">
        <x:v>기존 Excel 대응</x:v>
      </x:c>
      <x:c r="S39" s="59" t="str"/>
    </x:row>
    <x:row r="40" ht="15" hidden="0" customHeight="1">
      <x:c r="A40" s="46" t="str">
        <x:v>NATURAL_1H_R1</x:v>
      </x:c>
      <x:c r="B40" s="47" t="str">
        <x:v>일반</x:v>
      </x:c>
      <x:c r="C40" s="47" t="str">
        <x:v>오픈열람실2</x:v>
      </x:c>
      <x:c r="D40" s="47" t="str">
        <x:v>자연자료실1 AP</x:v>
      </x:c>
      <x:c r="E40" s="47" t="str">
        <x:v>고정</x:v>
      </x:c>
      <x:c r="F40" s="48" t="n">
        <x:v>60</x:v>
      </x:c>
      <x:c r="G40" s="48" t="n">
        <x:v>1</x:v>
      </x:c>
      <x:c r="H40" s="48" t="n">
        <x:v>39</x:v>
      </x:c>
      <x:c r="I40" s="49" t="n">
        <x:v>-80</x:v>
      </x:c>
      <x:c r="J40" s="49" t="n">
        <x:v>960.75</x:v>
      </x:c>
      <x:c r="K40" s="49" t="n">
        <x:v>14</x:v>
      </x:c>
      <x:c r="L40" s="49" t="n">
        <x:v>5</x:v>
      </x:c>
      <x:c r="M40" s="49" t="n">
        <x:v>0</x:v>
      </x:c>
      <x:c r="N40" s="49" t="n">
        <x:v>7.9589</x:v>
      </x:c>
      <x:c r="O40" s="49" t="n">
        <x:v>8.1532</x:v>
      </x:c>
      <x:c r="P40" s="49" t="n">
        <x:f>IF(OR(N40="",O40=""),"",2*N40*O40/(N40+O40))</x:f>
        <x:v>8.054878442909366</x:v>
      </x:c>
      <x:c r="Q40" s="58" t="str">
        <x:v>오열에서_자연1_1시간 측정_1.jpg; 오열에서_자연1_1시간 측정_2.jpg</x:v>
      </x:c>
      <x:c r="R40" s="58" t="str">
        <x:v>기존 Excel 대응</x:v>
      </x:c>
      <x:c r="S40" s="59" t="str"/>
    </x:row>
    <x:row r="41" ht="15" hidden="0" customHeight="1">
      <x:c r="A41" s="46" t="str">
        <x:v>NATURAL_1H_R1</x:v>
      </x:c>
      <x:c r="B41" s="47" t="str">
        <x:v>일반</x:v>
      </x:c>
      <x:c r="C41" s="47" t="str">
        <x:v>오픈열람실2</x:v>
      </x:c>
      <x:c r="D41" s="47" t="str">
        <x:v>자연자료실1 AP</x:v>
      </x:c>
      <x:c r="E41" s="47" t="str">
        <x:v>고정</x:v>
      </x:c>
      <x:c r="F41" s="48" t="n">
        <x:v>60</x:v>
      </x:c>
      <x:c r="G41" s="48" t="n">
        <x:v>1</x:v>
      </x:c>
      <x:c r="H41" s="48" t="n">
        <x:v>40</x:v>
      </x:c>
      <x:c r="I41" s="49" t="n">
        <x:v>-80</x:v>
      </x:c>
      <x:c r="J41" s="49" t="n">
        <x:v>960.75</x:v>
      </x:c>
      <x:c r="K41" s="49" t="n">
        <x:v>19</x:v>
      </x:c>
      <x:c r="L41" s="49" t="n">
        <x:v>3</x:v>
      </x:c>
      <x:c r="M41" s="49" t="n">
        <x:v>0</x:v>
      </x:c>
      <x:c r="N41" s="49" t="n">
        <x:v>14.6618</x:v>
      </x:c>
      <x:c r="O41" s="49" t="n">
        <x:v>4.5862</x:v>
      </x:c>
      <x:c r="P41" s="49" t="n">
        <x:f>IF(OR(N41="",O41=""),"",2*N41*O41/(N41+O41))</x:f>
        <x:v>6.986902240232752</x:v>
      </x:c>
      <x:c r="Q41" s="58" t="str">
        <x:v>오열에서_자연1_1시간 측정_1.jpg; 오열에서_자연1_1시간 측정_2.jpg</x:v>
      </x:c>
      <x:c r="R41" s="58" t="str">
        <x:v>기존 Excel 대응</x:v>
      </x:c>
      <x:c r="S41" s="59" t="str"/>
    </x:row>
    <x:row r="42" ht="15" hidden="0" customHeight="1">
      <x:c r="A42" s="46" t="str">
        <x:v>NATURAL_1H_R1</x:v>
      </x:c>
      <x:c r="B42" s="47" t="str">
        <x:v>일반</x:v>
      </x:c>
      <x:c r="C42" s="47" t="str">
        <x:v>오픈열람실2</x:v>
      </x:c>
      <x:c r="D42" s="47" t="str">
        <x:v>자연자료실1 AP</x:v>
      </x:c>
      <x:c r="E42" s="47" t="str">
        <x:v>고정</x:v>
      </x:c>
      <x:c r="F42" s="48" t="n">
        <x:v>60</x:v>
      </x:c>
      <x:c r="G42" s="48" t="n">
        <x:v>1</x:v>
      </x:c>
      <x:c r="H42" s="48" t="n">
        <x:v>41</x:v>
      </x:c>
      <x:c r="I42" s="49" t="n">
        <x:v>-81</x:v>
      </x:c>
      <x:c r="J42" s="49" t="n">
        <x:v>960.75</x:v>
      </x:c>
      <x:c r="K42" s="49" t="n">
        <x:v>16</x:v>
      </x:c>
      <x:c r="L42" s="49" t="n">
        <x:v>4</x:v>
      </x:c>
      <x:c r="M42" s="49" t="n">
        <x:v>0</x:v>
      </x:c>
      <x:c r="N42" s="49" t="n">
        <x:v>11.3116</x:v>
      </x:c>
      <x:c r="O42" s="49" t="n">
        <x:v>7.1237</x:v>
      </x:c>
      <x:c r="P42" s="49" t="n">
        <x:f>IF(OR(N42="",O42=""),"",2*N42*O42/(N42+O42))</x:f>
        <x:v>8.741972728406914</x:v>
      </x:c>
      <x:c r="Q42" s="58" t="str">
        <x:v>오열에서_자연1_1시간 측정_1.jpg; 오열에서_자연1_1시간 측정_2.jpg</x:v>
      </x:c>
      <x:c r="R42" s="58" t="str">
        <x:v>기존 Excel 대응</x:v>
      </x:c>
      <x:c r="S42" s="59" t="str"/>
    </x:row>
    <x:row r="43" ht="15" hidden="0" customHeight="1">
      <x:c r="A43" s="46" t="str">
        <x:v>NATURAL_1H_R1</x:v>
      </x:c>
      <x:c r="B43" s="47" t="str">
        <x:v>일반</x:v>
      </x:c>
      <x:c r="C43" s="47" t="str">
        <x:v>오픈열람실2</x:v>
      </x:c>
      <x:c r="D43" s="47" t="str">
        <x:v>자연자료실1 AP</x:v>
      </x:c>
      <x:c r="E43" s="47" t="str">
        <x:v>고정</x:v>
      </x:c>
      <x:c r="F43" s="48" t="n">
        <x:v>60</x:v>
      </x:c>
      <x:c r="G43" s="48" t="n">
        <x:v>1</x:v>
      </x:c>
      <x:c r="H43" s="48" t="n">
        <x:v>42</x:v>
      </x:c>
      <x:c r="I43" s="49" t="n">
        <x:v>-82</x:v>
      </x:c>
      <x:c r="J43" s="49" t="n">
        <x:v>960.75</x:v>
      </x:c>
      <x:c r="K43" s="49" t="n">
        <x:v>13</x:v>
      </x:c>
      <x:c r="L43" s="49" t="n">
        <x:v>4</x:v>
      </x:c>
      <x:c r="M43" s="49" t="n">
        <x:v>0</x:v>
      </x:c>
      <x:c r="N43" s="49" t="n">
        <x:v>5.6429</x:v>
      </x:c>
      <x:c r="O43" s="49" t="n">
        <x:v>4.3826</x:v>
      </x:c>
      <x:c r="P43" s="49" t="n">
        <x:f>IF(OR(N43="",O43=""),"",2*N43*O43/(N43+O43))</x:f>
        <x:v>4.933534195800708</x:v>
      </x:c>
      <x:c r="Q43" s="58" t="str">
        <x:v>오열에서_자연1_1시간 측정_1.jpg; 오열에서_자연1_1시간 측정_2.jpg</x:v>
      </x:c>
      <x:c r="R43" s="58" t="str">
        <x:v>기존 Excel 대응</x:v>
      </x:c>
      <x:c r="S43" s="59" t="str"/>
    </x:row>
    <x:row r="44" ht="15" hidden="0" customHeight="1">
      <x:c r="A44" s="46" t="str">
        <x:v>NATURAL_1H_R1</x:v>
      </x:c>
      <x:c r="B44" s="47" t="str">
        <x:v>일반</x:v>
      </x:c>
      <x:c r="C44" s="47" t="str">
        <x:v>오픈열람실2</x:v>
      </x:c>
      <x:c r="D44" s="47" t="str">
        <x:v>자연자료실1 AP</x:v>
      </x:c>
      <x:c r="E44" s="47" t="str">
        <x:v>고정</x:v>
      </x:c>
      <x:c r="F44" s="48" t="n">
        <x:v>60</x:v>
      </x:c>
      <x:c r="G44" s="48" t="n">
        <x:v>1</x:v>
      </x:c>
      <x:c r="H44" s="48" t="n">
        <x:v>43</x:v>
      </x:c>
      <x:c r="I44" s="49" t="n">
        <x:v>-81</x:v>
      </x:c>
      <x:c r="J44" s="49" t="n">
        <x:v>960.75</x:v>
      </x:c>
      <x:c r="K44" s="49" t="n">
        <x:v>20</x:v>
      </x:c>
      <x:c r="L44" s="49" t="n">
        <x:v>6</x:v>
      </x:c>
      <x:c r="M44" s="49" t="n">
        <x:v>0</x:v>
      </x:c>
      <x:c r="N44" s="49" t="n">
        <x:v>5.8637</x:v>
      </x:c>
      <x:c r="O44" s="49" t="n">
        <x:v>5.4382</x:v>
      </x:c>
      <x:c r="P44" s="49" t="n">
        <x:f>IF(OR(N44="",O44=""),"",2*N44*O44/(N44+O44))</x:f>
        <x:v>5.6429402737592795</x:v>
      </x:c>
      <x:c r="Q44" s="58" t="str">
        <x:v>오열에서_자연1_1시간 측정_1.jpg; 오열에서_자연1_1시간 측정_2.jpg</x:v>
      </x:c>
      <x:c r="R44" s="58" t="str">
        <x:v>기존 Excel 대응</x:v>
      </x:c>
      <x:c r="S44" s="59" t="str"/>
    </x:row>
    <x:row r="45" ht="15" hidden="0" customHeight="1">
      <x:c r="A45" s="46" t="str">
        <x:v>NATURAL_1H_R1</x:v>
      </x:c>
      <x:c r="B45" s="47" t="str">
        <x:v>일반</x:v>
      </x:c>
      <x:c r="C45" s="47" t="str">
        <x:v>오픈열람실2</x:v>
      </x:c>
      <x:c r="D45" s="47" t="str">
        <x:v>자연자료실1 AP</x:v>
      </x:c>
      <x:c r="E45" s="47" t="str">
        <x:v>고정</x:v>
      </x:c>
      <x:c r="F45" s="48" t="n">
        <x:v>60</x:v>
      </x:c>
      <x:c r="G45" s="48" t="n">
        <x:v>1</x:v>
      </x:c>
      <x:c r="H45" s="48" t="n">
        <x:v>44</x:v>
      </x:c>
      <x:c r="I45" s="49" t="n">
        <x:v>-80</x:v>
      </x:c>
      <x:c r="J45" s="49" t="n">
        <x:v>960.75</x:v>
      </x:c>
      <x:c r="K45" s="49" t="n">
        <x:v>22</x:v>
      </x:c>
      <x:c r="L45" s="49" t="n">
        <x:v>9</x:v>
      </x:c>
      <x:c r="M45" s="49" t="n">
        <x:v>0</x:v>
      </x:c>
      <x:c r="N45" s="49" t="n">
        <x:v>12.3488</x:v>
      </x:c>
      <x:c r="O45" s="49" t="n">
        <x:v>9.2084</x:v>
      </x:c>
      <x:c r="P45" s="49" t="n">
        <x:f>IF(OR(N45="",O45=""),"",2*N45*O45/(N45+O45))</x:f>
        <x:v>10.549857116879743</x:v>
      </x:c>
      <x:c r="Q45" s="58" t="str">
        <x:v>오열에서_자연1_1시간 측정_1.jpg; 오열에서_자연1_1시간 측정_2.jpg</x:v>
      </x:c>
      <x:c r="R45" s="58" t="str">
        <x:v>기존 Excel 대응</x:v>
      </x:c>
      <x:c r="S45" s="59" t="str"/>
    </x:row>
    <x:row r="46" ht="15" hidden="0" customHeight="1">
      <x:c r="A46" s="46" t="str">
        <x:v>NATURAL_1H_R1</x:v>
      </x:c>
      <x:c r="B46" s="47" t="str">
        <x:v>일반</x:v>
      </x:c>
      <x:c r="C46" s="47" t="str">
        <x:v>오픈열람실2</x:v>
      </x:c>
      <x:c r="D46" s="47" t="str">
        <x:v>자연자료실1 AP</x:v>
      </x:c>
      <x:c r="E46" s="47" t="str">
        <x:v>고정</x:v>
      </x:c>
      <x:c r="F46" s="48" t="n">
        <x:v>60</x:v>
      </x:c>
      <x:c r="G46" s="48" t="n">
        <x:v>1</x:v>
      </x:c>
      <x:c r="H46" s="48" t="n">
        <x:v>45</x:v>
      </x:c>
      <x:c r="I46" s="49" t="n">
        <x:v>-80</x:v>
      </x:c>
      <x:c r="J46" s="49" t="n">
        <x:v>960.75</x:v>
      </x:c>
      <x:c r="K46" s="49" t="n">
        <x:v>54</x:v>
      </x:c>
      <x:c r="L46" s="49" t="n">
        <x:v>7</x:v>
      </x:c>
      <x:c r="M46" s="49" t="n">
        <x:v>0</x:v>
      </x:c>
      <x:c r="N46" s="49" t="n">
        <x:v>5.8573</x:v>
      </x:c>
      <x:c r="O46" s="49" t="n">
        <x:v>5.8535</x:v>
      </x:c>
      <x:c r="P46" s="49" t="n">
        <x:f>IF(OR(N46="",O46=""),"",2*N46*O46/(N46+O46))</x:f>
        <x:v>5.855399383475083</x:v>
      </x:c>
      <x:c r="Q46" s="58" t="str">
        <x:v>오열에서_자연1_1시간 측정_1.jpg; 오열에서_자연1_1시간 측정_2.jpg</x:v>
      </x:c>
      <x:c r="R46" s="58" t="str">
        <x:v>기존 Excel 대응</x:v>
      </x:c>
      <x:c r="S46" s="59" t="str"/>
    </x:row>
    <x:row r="47" ht="15" hidden="0" customHeight="1">
      <x:c r="A47" s="46" t="str">
        <x:v>NATURAL_1H_R1</x:v>
      </x:c>
      <x:c r="B47" s="47" t="str">
        <x:v>일반</x:v>
      </x:c>
      <x:c r="C47" s="47" t="str">
        <x:v>오픈열람실2</x:v>
      </x:c>
      <x:c r="D47" s="47" t="str">
        <x:v>자연자료실1 AP</x:v>
      </x:c>
      <x:c r="E47" s="47" t="str">
        <x:v>고정</x:v>
      </x:c>
      <x:c r="F47" s="48" t="n">
        <x:v>60</x:v>
      </x:c>
      <x:c r="G47" s="48" t="n">
        <x:v>1</x:v>
      </x:c>
      <x:c r="H47" s="48" t="n">
        <x:v>46</x:v>
      </x:c>
      <x:c r="I47" s="49" t="n">
        <x:v>-80</x:v>
      </x:c>
      <x:c r="J47" s="49" t="n">
        <x:v>960.75</x:v>
      </x:c>
      <x:c r="K47" s="49" t="n">
        <x:v>29</x:v>
      </x:c>
      <x:c r="L47" s="49" t="n">
        <x:v>4</x:v>
      </x:c>
      <x:c r="M47" s="49" t="n">
        <x:v>0</x:v>
      </x:c>
      <x:c r="N47" s="49" t="n">
        <x:v>10.0482</x:v>
      </x:c>
      <x:c r="O47" s="49" t="n">
        <x:v>6.4901</x:v>
      </x:c>
      <x:c r="P47" s="49" t="n">
        <x:f>IF(OR(N47="",O47=""),"",2*N47*O47/(N47+O47))</x:f>
        <x:v>7.886399789579339</x:v>
      </x:c>
      <x:c r="Q47" s="58" t="str">
        <x:v>오열에서_자연1_1시간 측정_1.jpg; 오열에서_자연1_1시간 측정_2.jpg</x:v>
      </x:c>
      <x:c r="R47" s="58" t="str">
        <x:v>기존 Excel 대응</x:v>
      </x:c>
      <x:c r="S47" s="59" t="str"/>
    </x:row>
    <x:row r="48" ht="15" hidden="0" customHeight="1">
      <x:c r="A48" s="46" t="str">
        <x:v>NATURAL_1H_R1</x:v>
      </x:c>
      <x:c r="B48" s="47" t="str">
        <x:v>일반</x:v>
      </x:c>
      <x:c r="C48" s="47" t="str">
        <x:v>오픈열람실2</x:v>
      </x:c>
      <x:c r="D48" s="47" t="str">
        <x:v>자연자료실1 AP</x:v>
      </x:c>
      <x:c r="E48" s="47" t="str">
        <x:v>고정</x:v>
      </x:c>
      <x:c r="F48" s="48" t="n">
        <x:v>60</x:v>
      </x:c>
      <x:c r="G48" s="48" t="n">
        <x:v>1</x:v>
      </x:c>
      <x:c r="H48" s="48" t="n">
        <x:v>47</x:v>
      </x:c>
      <x:c r="I48" s="49" t="n">
        <x:v>-82</x:v>
      </x:c>
      <x:c r="J48" s="49" t="n">
        <x:v>960.75</x:v>
      </x:c>
      <x:c r="K48" s="49" t="n">
        <x:v>42</x:v>
      </x:c>
      <x:c r="L48" s="49" t="n">
        <x:v>10</x:v>
      </x:c>
      <x:c r="M48" s="49" t="n">
        <x:v>0</x:v>
      </x:c>
      <x:c r="N48" s="49" t="n">
        <x:v>8.3628</x:v>
      </x:c>
      <x:c r="O48" s="49" t="n">
        <x:v>8.1736</x:v>
      </x:c>
      <x:c r="P48" s="49" t="n">
        <x:f>IF(OR(N48="",O48=""),"",2*N48*O48/(N48+O48))</x:f>
        <x:v>8.267117641082702</x:v>
      </x:c>
      <x:c r="Q48" s="58" t="str">
        <x:v>오열에서_자연1_1시간 측정_1.jpg; 오열에서_자연1_1시간 측정_2.jpg</x:v>
      </x:c>
      <x:c r="R48" s="58" t="str">
        <x:v>기존 Excel 대응</x:v>
      </x:c>
      <x:c r="S48" s="59" t="str"/>
    </x:row>
    <x:row r="49" ht="15" hidden="0" customHeight="1">
      <x:c r="A49" s="46" t="str">
        <x:v>NATURAL_1H_R1</x:v>
      </x:c>
      <x:c r="B49" s="47" t="str">
        <x:v>일반</x:v>
      </x:c>
      <x:c r="C49" s="47" t="str">
        <x:v>오픈열람실2</x:v>
      </x:c>
      <x:c r="D49" s="47" t="str">
        <x:v>자연자료실1 AP</x:v>
      </x:c>
      <x:c r="E49" s="47" t="str">
        <x:v>고정</x:v>
      </x:c>
      <x:c r="F49" s="48" t="n">
        <x:v>60</x:v>
      </x:c>
      <x:c r="G49" s="48" t="n">
        <x:v>1</x:v>
      </x:c>
      <x:c r="H49" s="48" t="n">
        <x:v>48</x:v>
      </x:c>
      <x:c r="I49" s="49" t="n">
        <x:v>-80</x:v>
      </x:c>
      <x:c r="J49" s="49" t="n">
        <x:v>960.75</x:v>
      </x:c>
      <x:c r="K49" s="49" t="n">
        <x:v>29</x:v>
      </x:c>
      <x:c r="L49" s="49" t="n">
        <x:v>5</x:v>
      </x:c>
      <x:c r="M49" s="49" t="n">
        <x:v>0</x:v>
      </x:c>
      <x:c r="N49" s="49" t="n">
        <x:v>4.8107</x:v>
      </x:c>
      <x:c r="O49" s="49" t="n">
        <x:v>4.8025</x:v>
      </x:c>
      <x:c r="P49" s="49" t="n">
        <x:f>IF(OR(N49="",O49=""),"",2*N49*O49/(N49+O49))</x:f>
        <x:v>4.806596502725419</x:v>
      </x:c>
      <x:c r="Q49" s="58" t="str">
        <x:v>오열에서_자연1_1시간 측정_1.jpg; 오열에서_자연1_1시간 측정_2.jpg</x:v>
      </x:c>
      <x:c r="R49" s="58" t="str">
        <x:v>기존 Excel 대응</x:v>
      </x:c>
      <x:c r="S49" s="59" t="str"/>
    </x:row>
    <x:row r="50" ht="15" hidden="0" customHeight="1">
      <x:c r="A50" s="46" t="str">
        <x:v>NATURAL_1H_R1</x:v>
      </x:c>
      <x:c r="B50" s="47" t="str">
        <x:v>일반</x:v>
      </x:c>
      <x:c r="C50" s="47" t="str">
        <x:v>오픈열람실2</x:v>
      </x:c>
      <x:c r="D50" s="47" t="str">
        <x:v>자연자료실1 AP</x:v>
      </x:c>
      <x:c r="E50" s="47" t="str">
        <x:v>고정</x:v>
      </x:c>
      <x:c r="F50" s="48" t="n">
        <x:v>60</x:v>
      </x:c>
      <x:c r="G50" s="48" t="n">
        <x:v>1</x:v>
      </x:c>
      <x:c r="H50" s="48" t="n">
        <x:v>49</x:v>
      </x:c>
      <x:c r="I50" s="49" t="n">
        <x:v>-81</x:v>
      </x:c>
      <x:c r="J50" s="49" t="n">
        <x:v>960.75</x:v>
      </x:c>
      <x:c r="K50" s="49" t="n">
        <x:v>40</x:v>
      </x:c>
      <x:c r="L50" s="49" t="n">
        <x:v>5</x:v>
      </x:c>
      <x:c r="M50" s="49" t="n">
        <x:v>0</x:v>
      </x:c>
      <x:c r="N50" s="49" t="n">
        <x:v>6.9007</x:v>
      </x:c>
      <x:c r="O50" s="49" t="n">
        <x:v>6.0628</x:v>
      </x:c>
      <x:c r="P50" s="49" t="n">
        <x:f>IF(OR(N50="",O50=""),"",2*N50*O50/(N50+O50))</x:f>
        <x:v>6.45467103174297</x:v>
      </x:c>
      <x:c r="Q50" s="58" t="str">
        <x:v>오열에서_자연1_1시간 측정_1.jpg; 오열에서_자연1_1시간 측정_2.jpg</x:v>
      </x:c>
      <x:c r="R50" s="58" t="str">
        <x:v>기존 Excel 대응</x:v>
      </x:c>
      <x:c r="S50" s="59" t="str"/>
    </x:row>
    <x:row r="51" ht="15" hidden="0" customHeight="1">
      <x:c r="A51" s="46" t="str">
        <x:v>NATURAL_1H_R1</x:v>
      </x:c>
      <x:c r="B51" s="47" t="str">
        <x:v>일반</x:v>
      </x:c>
      <x:c r="C51" s="47" t="str">
        <x:v>오픈열람실2</x:v>
      </x:c>
      <x:c r="D51" s="47" t="str">
        <x:v>자연자료실1 AP</x:v>
      </x:c>
      <x:c r="E51" s="47" t="str">
        <x:v>고정</x:v>
      </x:c>
      <x:c r="F51" s="48" t="n">
        <x:v>60</x:v>
      </x:c>
      <x:c r="G51" s="48" t="n">
        <x:v>1</x:v>
      </x:c>
      <x:c r="H51" s="48" t="n">
        <x:v>50</x:v>
      </x:c>
      <x:c r="I51" s="49" t="n">
        <x:v>-79</x:v>
      </x:c>
      <x:c r="J51" s="49" t="n">
        <x:v>960.75</x:v>
      </x:c>
      <x:c r="K51" s="49" t="n">
        <x:v>15</x:v>
      </x:c>
      <x:c r="L51" s="49" t="n">
        <x:v>3</x:v>
      </x:c>
      <x:c r="M51" s="49" t="n">
        <x:v>0</x:v>
      </x:c>
      <x:c r="N51" s="49" t="n">
        <x:v>15.2632</x:v>
      </x:c>
      <x:c r="O51" s="49" t="n">
        <x:v>6.6857</x:v>
      </x:c>
      <x:c r="P51" s="49" t="n">
        <x:f>IF(OR(N51="",O51=""),"",2*N51*O51/(N51+O51))</x:f>
        <x:v>9.298431925062303</x:v>
      </x:c>
      <x:c r="Q51" s="58" t="str">
        <x:v>오열에서_자연1_1시간 측정_1.jpg; 오열에서_자연1_1시간 측정_2.jpg</x:v>
      </x:c>
      <x:c r="R51" s="58" t="str">
        <x:v>기존 Excel 대응</x:v>
      </x:c>
      <x:c r="S51" s="59" t="str"/>
    </x:row>
    <x:row r="52" ht="15" hidden="0" customHeight="1">
      <x:c r="A52" s="46" t="str">
        <x:v>NATURAL_1H_R1</x:v>
      </x:c>
      <x:c r="B52" s="47" t="str">
        <x:v>일반</x:v>
      </x:c>
      <x:c r="C52" s="47" t="str">
        <x:v>오픈열람실2</x:v>
      </x:c>
      <x:c r="D52" s="47" t="str">
        <x:v>자연자료실1 AP</x:v>
      </x:c>
      <x:c r="E52" s="47" t="str">
        <x:v>고정</x:v>
      </x:c>
      <x:c r="F52" s="48" t="n">
        <x:v>60</x:v>
      </x:c>
      <x:c r="G52" s="48" t="n">
        <x:v>1</x:v>
      </x:c>
      <x:c r="H52" s="48" t="n">
        <x:v>51</x:v>
      </x:c>
      <x:c r="I52" s="49" t="n">
        <x:v>-80</x:v>
      </x:c>
      <x:c r="J52" s="49" t="n">
        <x:v>960.75</x:v>
      </x:c>
      <x:c r="K52" s="49" t="n">
        <x:v>13</x:v>
      </x:c>
      <x:c r="L52" s="49" t="n">
        <x:v>7</x:v>
      </x:c>
      <x:c r="M52" s="49" t="n">
        <x:v>0</x:v>
      </x:c>
      <x:c r="N52" s="49" t="n">
        <x:v>11.3278</x:v>
      </x:c>
      <x:c r="O52" s="49" t="n">
        <x:v>7.334</x:v>
      </x:c>
      <x:c r="P52" s="49" t="n">
        <x:f>IF(OR(N52="",O52=""),"",2*N52*O52/(N52+O52))</x:f>
        <x:v>8.903544695581347</x:v>
      </x:c>
      <x:c r="Q52" s="58" t="str">
        <x:v>오열에서_자연1_1시간 측정_1.jpg; 오열에서_자연1_1시간 측정_2.jpg</x:v>
      </x:c>
      <x:c r="R52" s="58" t="str">
        <x:v>기존 Excel 대응</x:v>
      </x:c>
      <x:c r="S52" s="59" t="str"/>
    </x:row>
    <x:row r="53" ht="15" hidden="0" customHeight="1">
      <x:c r="A53" s="46" t="str">
        <x:v>NATURAL_1H_R1</x:v>
      </x:c>
      <x:c r="B53" s="47" t="str">
        <x:v>일반</x:v>
      </x:c>
      <x:c r="C53" s="47" t="str">
        <x:v>오픈열람실2</x:v>
      </x:c>
      <x:c r="D53" s="47" t="str">
        <x:v>자연자료실1 AP</x:v>
      </x:c>
      <x:c r="E53" s="47" t="str">
        <x:v>고정</x:v>
      </x:c>
      <x:c r="F53" s="48" t="n">
        <x:v>60</x:v>
      </x:c>
      <x:c r="G53" s="48" t="n">
        <x:v>1</x:v>
      </x:c>
      <x:c r="H53" s="48" t="n">
        <x:v>52</x:v>
      </x:c>
      <x:c r="I53" s="49" t="n">
        <x:v>-81</x:v>
      </x:c>
      <x:c r="J53" s="49" t="n">
        <x:v>960.75</x:v>
      </x:c>
      <x:c r="K53" s="49" t="n">
        <x:v>25</x:v>
      </x:c>
      <x:c r="L53" s="49" t="n">
        <x:v>3</x:v>
      </x:c>
      <x:c r="M53" s="49" t="n">
        <x:v>0</x:v>
      </x:c>
      <x:c r="N53" s="49" t="n">
        <x:v>10.0268</x:v>
      </x:c>
      <x:c r="O53" s="49" t="n">
        <x:v>4.6055</x:v>
      </x:c>
      <x:c r="P53" s="49" t="n">
        <x:f>IF(OR(N53="",O53=""),"",2*N53*O53/(N53+O53))</x:f>
        <x:v>6.311848089500624</x:v>
      </x:c>
      <x:c r="Q53" s="58" t="str">
        <x:v>오열에서_자연1_1시간 측정_1.jpg; 오열에서_자연1_1시간 측정_2.jpg</x:v>
      </x:c>
      <x:c r="R53" s="58" t="str">
        <x:v>기존 Excel 대응</x:v>
      </x:c>
      <x:c r="S53" s="59" t="str"/>
    </x:row>
    <x:row r="54" ht="15" hidden="0" customHeight="1">
      <x:c r="A54" s="46" t="str">
        <x:v>NATURAL_1H_R1</x:v>
      </x:c>
      <x:c r="B54" s="47" t="str">
        <x:v>일반</x:v>
      </x:c>
      <x:c r="C54" s="47" t="str">
        <x:v>오픈열람실2</x:v>
      </x:c>
      <x:c r="D54" s="47" t="str">
        <x:v>자연자료실1 AP</x:v>
      </x:c>
      <x:c r="E54" s="47" t="str">
        <x:v>고정</x:v>
      </x:c>
      <x:c r="F54" s="48" t="n">
        <x:v>60</x:v>
      </x:c>
      <x:c r="G54" s="48" t="n">
        <x:v>1</x:v>
      </x:c>
      <x:c r="H54" s="48" t="n">
        <x:v>53</x:v>
      </x:c>
      <x:c r="I54" s="49" t="n">
        <x:v>-78</x:v>
      </x:c>
      <x:c r="J54" s="49" t="n">
        <x:v>960.75</x:v>
      </x:c>
      <x:c r="K54" s="49" t="n">
        <x:v>22</x:v>
      </x:c>
      <x:c r="L54" s="49" t="n">
        <x:v>6</x:v>
      </x:c>
      <x:c r="M54" s="49" t="n">
        <x:v>0</x:v>
      </x:c>
      <x:c r="N54" s="49" t="n">
        <x:v>10.2555</x:v>
      </x:c>
      <x:c r="O54" s="49" t="n">
        <x:v>7.7507</x:v>
      </x:c>
      <x:c r="P54" s="49" t="n">
        <x:f>IF(OR(N54="",O54=""),"",2*N54*O54/(N54+O54))</x:f>
        <x:v>8.828881590785397</x:v>
      </x:c>
      <x:c r="Q54" s="58" t="str">
        <x:v>오열에서_자연1_1시간 측정_1.jpg; 오열에서_자연1_1시간 측정_2.jpg</x:v>
      </x:c>
      <x:c r="R54" s="58" t="str">
        <x:v>기존 Excel 대응</x:v>
      </x:c>
      <x:c r="S54" s="59" t="str"/>
    </x:row>
    <x:row r="55" ht="15" hidden="0" customHeight="1">
      <x:c r="A55" s="46" t="str">
        <x:v>NATURAL_1H_R1</x:v>
      </x:c>
      <x:c r="B55" s="47" t="str">
        <x:v>일반</x:v>
      </x:c>
      <x:c r="C55" s="47" t="str">
        <x:v>오픈열람실2</x:v>
      </x:c>
      <x:c r="D55" s="47" t="str">
        <x:v>자연자료실1 AP</x:v>
      </x:c>
      <x:c r="E55" s="47" t="str">
        <x:v>고정</x:v>
      </x:c>
      <x:c r="F55" s="48" t="n">
        <x:v>60</x:v>
      </x:c>
      <x:c r="G55" s="48" t="n">
        <x:v>1</x:v>
      </x:c>
      <x:c r="H55" s="48" t="n">
        <x:v>54</x:v>
      </x:c>
      <x:c r="I55" s="49" t="n">
        <x:v>-80</x:v>
      </x:c>
      <x:c r="J55" s="49" t="n">
        <x:v>960.75</x:v>
      </x:c>
      <x:c r="K55" s="49" t="n">
        <x:v>28</x:v>
      </x:c>
      <x:c r="L55" s="49" t="n">
        <x:v>19</x:v>
      </x:c>
      <x:c r="M55" s="49" t="n">
        <x:v>0</x:v>
      </x:c>
      <x:c r="N55" s="49" t="n">
        <x:v>4.3843</x:v>
      </x:c>
      <x:c r="O55" s="49" t="n">
        <x:v>9.0212</x:v>
      </x:c>
      <x:c r="P55" s="49" t="n">
        <x:f>IF(OR(N55="",O55=""),"",2*N55*O55/(N55+O55))</x:f>
        <x:v>5.900808945582037</x:v>
      </x:c>
      <x:c r="Q55" s="58" t="str">
        <x:v>오열에서_자연1_1시간 측정_1.jpg; 오열에서_자연1_1시간 측정_2.jpg</x:v>
      </x:c>
      <x:c r="R55" s="58" t="str">
        <x:v>기존 Excel 대응</x:v>
      </x:c>
      <x:c r="S55" s="59" t="str"/>
    </x:row>
    <x:row r="56" ht="15" hidden="0" customHeight="1">
      <x:c r="A56" s="46" t="str">
        <x:v>NATURAL_1H_R1</x:v>
      </x:c>
      <x:c r="B56" s="47" t="str">
        <x:v>일반</x:v>
      </x:c>
      <x:c r="C56" s="47" t="str">
        <x:v>오픈열람실2</x:v>
      </x:c>
      <x:c r="D56" s="47" t="str">
        <x:v>자연자료실1 AP</x:v>
      </x:c>
      <x:c r="E56" s="47" t="str">
        <x:v>고정</x:v>
      </x:c>
      <x:c r="F56" s="48" t="n">
        <x:v>60</x:v>
      </x:c>
      <x:c r="G56" s="48" t="n">
        <x:v>1</x:v>
      </x:c>
      <x:c r="H56" s="48" t="n">
        <x:v>55</x:v>
      </x:c>
      <x:c r="I56" s="49" t="n">
        <x:v>-79</x:v>
      </x:c>
      <x:c r="J56" s="49" t="n">
        <x:v>960.75</x:v>
      </x:c>
      <x:c r="K56" s="49" t="n">
        <x:v>12</x:v>
      </x:c>
      <x:c r="L56" s="49" t="n">
        <x:v>9</x:v>
      </x:c>
      <x:c r="M56" s="49" t="n">
        <x:v>0</x:v>
      </x:c>
      <x:c r="N56" s="49" t="n">
        <x:v>10.4491</x:v>
      </x:c>
      <x:c r="O56" s="49" t="n">
        <x:v>7.7567</x:v>
      </x:c>
      <x:c r="P56" s="49" t="n">
        <x:f>IF(OR(N56="",O56=""),"",2*N56*O56/(N56+O56))</x:f>
        <x:v>8.903814605235695</x:v>
      </x:c>
      <x:c r="Q56" s="58" t="str">
        <x:v>오열에서_자연1_1시간 측정_1.jpg; 오열에서_자연1_1시간 측정_2.jpg</x:v>
      </x:c>
      <x:c r="R56" s="58" t="str">
        <x:v>기존 Excel 대응</x:v>
      </x:c>
      <x:c r="S56" s="59" t="str"/>
    </x:row>
    <x:row r="57" ht="15" hidden="0" customHeight="1">
      <x:c r="A57" s="46" t="str">
        <x:v>NATURAL_1H_R1</x:v>
      </x:c>
      <x:c r="B57" s="47" t="str">
        <x:v>일반</x:v>
      </x:c>
      <x:c r="C57" s="47" t="str">
        <x:v>오픈열람실2</x:v>
      </x:c>
      <x:c r="D57" s="47" t="str">
        <x:v>자연자료실1 AP</x:v>
      </x:c>
      <x:c r="E57" s="47" t="str">
        <x:v>고정</x:v>
      </x:c>
      <x:c r="F57" s="48" t="n">
        <x:v>60</x:v>
      </x:c>
      <x:c r="G57" s="48" t="n">
        <x:v>1</x:v>
      </x:c>
      <x:c r="H57" s="48" t="n">
        <x:v>56</x:v>
      </x:c>
      <x:c r="I57" s="49" t="n">
        <x:v>-79</x:v>
      </x:c>
      <x:c r="J57" s="49" t="n">
        <x:v>960.75</x:v>
      </x:c>
      <x:c r="K57" s="49" t="n">
        <x:v>20</x:v>
      </x:c>
      <x:c r="L57" s="49" t="n">
        <x:v>11</x:v>
      </x:c>
      <x:c r="M57" s="49" t="n">
        <x:v>0</x:v>
      </x:c>
      <x:c r="N57" s="49" t="n">
        <x:v>12.1423</x:v>
      </x:c>
      <x:c r="O57" s="49" t="n">
        <x:v>8.9983</x:v>
      </x:c>
      <x:c r="P57" s="49" t="n">
        <x:f>IF(OR(N57="",O57=""),"",2*N57*O57/(N57+O57))</x:f>
        <x:v>10.33651439315819</x:v>
      </x:c>
      <x:c r="Q57" s="58" t="str">
        <x:v>오열에서_자연1_1시간 측정_1.jpg; 오열에서_자연1_1시간 측정_2.jpg</x:v>
      </x:c>
      <x:c r="R57" s="58" t="str">
        <x:v>기존 Excel 대응</x:v>
      </x:c>
      <x:c r="S57" s="59" t="str"/>
    </x:row>
    <x:row r="58" ht="15" hidden="0" customHeight="1">
      <x:c r="A58" s="46" t="str">
        <x:v>NATURAL_1H_R1</x:v>
      </x:c>
      <x:c r="B58" s="47" t="str">
        <x:v>일반</x:v>
      </x:c>
      <x:c r="C58" s="47" t="str">
        <x:v>오픈열람실2</x:v>
      </x:c>
      <x:c r="D58" s="47" t="str">
        <x:v>자연자료실1 AP</x:v>
      </x:c>
      <x:c r="E58" s="47" t="str">
        <x:v>고정</x:v>
      </x:c>
      <x:c r="F58" s="48" t="n">
        <x:v>60</x:v>
      </x:c>
      <x:c r="G58" s="48" t="n">
        <x:v>1</x:v>
      </x:c>
      <x:c r="H58" s="48" t="n">
        <x:v>57</x:v>
      </x:c>
      <x:c r="I58" s="49" t="n">
        <x:v>-79</x:v>
      </x:c>
      <x:c r="J58" s="49" t="n">
        <x:v>960.75</x:v>
      </x:c>
      <x:c r="K58" s="49" t="n">
        <x:v>24</x:v>
      </x:c>
      <x:c r="L58" s="49" t="n">
        <x:v>5</x:v>
      </x:c>
      <x:c r="M58" s="49" t="n">
        <x:v>0</x:v>
      </x:c>
      <x:c r="N58" s="49" t="n">
        <x:v>14.2034</x:v>
      </x:c>
      <x:c r="O58" s="49" t="n">
        <x:v>10.2573</x:v>
      </x:c>
      <x:c r="P58" s="49" t="n">
        <x:f>IF(OR(N58="",O58=""),"",2*N58*O58/(N58+O58))</x:f>
        <x:v>11.912049517797936</x:v>
      </x:c>
      <x:c r="Q58" s="58" t="str">
        <x:v>오열에서_자연1_1시간 측정_1.jpg; 오열에서_자연1_1시간 측정_2.jpg</x:v>
      </x:c>
      <x:c r="R58" s="58" t="str">
        <x:v>기존 Excel 대응</x:v>
      </x:c>
      <x:c r="S58" s="59" t="str"/>
    </x:row>
    <x:row r="59" ht="15" hidden="0" customHeight="1">
      <x:c r="A59" s="46" t="str">
        <x:v>OPEN2_1H_R1</x:v>
      </x:c>
      <x:c r="B59" s="47" t="str">
        <x:v>일반</x:v>
      </x:c>
      <x:c r="C59" s="47" t="str">
        <x:v>오픈열람실2</x:v>
      </x:c>
      <x:c r="D59" s="47" t="str">
        <x:v>오픈열람실2 AP</x:v>
      </x:c>
      <x:c r="E59" s="47" t="str">
        <x:v>고정</x:v>
      </x:c>
      <x:c r="F59" s="48" t="n">
        <x:v>60</x:v>
      </x:c>
      <x:c r="G59" s="48" t="n">
        <x:v>1</x:v>
      </x:c>
      <x:c r="H59" s="48" t="n">
        <x:v>1</x:v>
      </x:c>
      <x:c r="I59" s="49" t="n">
        <x:v>-53</x:v>
      </x:c>
      <x:c r="J59" s="49" t="n">
        <x:v>1201</x:v>
      </x:c>
      <x:c r="K59" s="49" t="n">
        <x:v>38</x:v>
      </x:c>
      <x:c r="L59" s="49" t="n">
        <x:v>5</x:v>
      </x:c>
      <x:c r="M59" s="49" t="n">
        <x:v>0</x:v>
      </x:c>
      <x:c r="N59" s="49" t="n">
        <x:v>54.3944</x:v>
      </x:c>
      <x:c r="O59" s="49" t="n">
        <x:v>103.2158</x:v>
      </x:c>
      <x:c r="P59" s="49" t="n">
        <x:f>IF(OR(N59="",O59=""),"",2*N59*O59/(N59+O59))</x:f>
        <x:v>71.24363158628059</x:v>
      </x:c>
      <x:c r="Q59" s="58" t="str">
        <x:v>오열에서_오열2_1시간 측정_1.png; 오열에서_오열2_1시간 측정_2.png</x:v>
      </x:c>
      <x:c r="R59" s="58" t="str">
        <x:v>기존 Excel 대응</x:v>
      </x:c>
      <x:c r="S59" s="59" t="str"/>
    </x:row>
    <x:row r="60" ht="15" hidden="0" customHeight="1">
      <x:c r="A60" s="46" t="str">
        <x:v>OPEN2_1H_R1</x:v>
      </x:c>
      <x:c r="B60" s="47" t="str">
        <x:v>일반</x:v>
      </x:c>
      <x:c r="C60" s="47" t="str">
        <x:v>오픈열람실2</x:v>
      </x:c>
      <x:c r="D60" s="47" t="str">
        <x:v>오픈열람실2 AP</x:v>
      </x:c>
      <x:c r="E60" s="47" t="str">
        <x:v>고정</x:v>
      </x:c>
      <x:c r="F60" s="48" t="n">
        <x:v>60</x:v>
      </x:c>
      <x:c r="G60" s="48" t="n">
        <x:v>1</x:v>
      </x:c>
      <x:c r="H60" s="48" t="n">
        <x:v>2</x:v>
      </x:c>
      <x:c r="I60" s="49" t="n">
        <x:v>-53</x:v>
      </x:c>
      <x:c r="J60" s="49" t="n">
        <x:v>1201</x:v>
      </x:c>
      <x:c r="K60" s="49" t="n">
        <x:v>46</x:v>
      </x:c>
      <x:c r="L60" s="49" t="n">
        <x:v>7</x:v>
      </x:c>
      <x:c r="M60" s="49" t="n">
        <x:v>0</x:v>
      </x:c>
      <x:c r="N60" s="49" t="n">
        <x:v>52.1676</x:v>
      </x:c>
      <x:c r="O60" s="49" t="n">
        <x:v>109.4258</x:v>
      </x:c>
      <x:c r="P60" s="49" t="n">
        <x:f>IF(OR(N60="",O60=""),"",2*N60*O60/(N60+O60))</x:f>
        <x:v>70.65240738891563</x:v>
      </x:c>
      <x:c r="Q60" s="58" t="str">
        <x:v>오열에서_오열2_1시간 측정_1.png; 오열에서_오열2_1시간 측정_2.png</x:v>
      </x:c>
      <x:c r="R60" s="58" t="str">
        <x:v>기존 Excel 대응</x:v>
      </x:c>
      <x:c r="S60" s="59" t="str"/>
    </x:row>
    <x:row r="61" ht="15" hidden="0" customHeight="1">
      <x:c r="A61" s="46" t="str">
        <x:v>OPEN2_1H_R1</x:v>
      </x:c>
      <x:c r="B61" s="47" t="str">
        <x:v>일반</x:v>
      </x:c>
      <x:c r="C61" s="47" t="str">
        <x:v>오픈열람실2</x:v>
      </x:c>
      <x:c r="D61" s="47" t="str">
        <x:v>오픈열람실2 AP</x:v>
      </x:c>
      <x:c r="E61" s="47" t="str">
        <x:v>고정</x:v>
      </x:c>
      <x:c r="F61" s="48" t="n">
        <x:v>60</x:v>
      </x:c>
      <x:c r="G61" s="48" t="n">
        <x:v>1</x:v>
      </x:c>
      <x:c r="H61" s="48" t="n">
        <x:v>3</x:v>
      </x:c>
      <x:c r="I61" s="49" t="n">
        <x:v>-51</x:v>
      </x:c>
      <x:c r="J61" s="49" t="n">
        <x:v>1201</x:v>
      </x:c>
      <x:c r="K61" s="49" t="n">
        <x:v>50</x:v>
      </x:c>
      <x:c r="L61" s="49" t="n">
        <x:v>10</x:v>
      </x:c>
      <x:c r="M61" s="49" t="n">
        <x:v>0</x:v>
      </x:c>
      <x:c r="N61" s="49" t="n">
        <x:v>49.5664</x:v>
      </x:c>
      <x:c r="O61" s="49" t="n">
        <x:v>74.2384</x:v>
      </x:c>
      <x:c r="P61" s="49" t="n">
        <x:f>IF(OR(N61="",O61=""),"",2*N61*O61/(N61+O61))</x:f>
        <x:v>59.444064038874096</x:v>
      </x:c>
      <x:c r="Q61" s="58" t="str">
        <x:v>오열에서_오열2_1시간 측정_1.png; 오열에서_오열2_1시간 측정_2.png</x:v>
      </x:c>
      <x:c r="R61" s="58" t="str">
        <x:v>기존 Excel 대응</x:v>
      </x:c>
      <x:c r="S61" s="59" t="str"/>
    </x:row>
    <x:row r="62" ht="15" hidden="0" customHeight="1">
      <x:c r="A62" s="46" t="str">
        <x:v>OPEN2_1H_R1</x:v>
      </x:c>
      <x:c r="B62" s="47" t="str">
        <x:v>일반</x:v>
      </x:c>
      <x:c r="C62" s="47" t="str">
        <x:v>오픈열람실2</x:v>
      </x:c>
      <x:c r="D62" s="47" t="str">
        <x:v>오픈열람실2 AP</x:v>
      </x:c>
      <x:c r="E62" s="47" t="str">
        <x:v>고정</x:v>
      </x:c>
      <x:c r="F62" s="48" t="n">
        <x:v>60</x:v>
      </x:c>
      <x:c r="G62" s="48" t="n">
        <x:v>1</x:v>
      </x:c>
      <x:c r="H62" s="48" t="n">
        <x:v>4</x:v>
      </x:c>
      <x:c r="I62" s="49" t="n">
        <x:v>-57</x:v>
      </x:c>
      <x:c r="J62" s="49" t="n">
        <x:v>1201</x:v>
      </x:c>
      <x:c r="K62" s="49" t="n">
        <x:v>23</x:v>
      </x:c>
      <x:c r="L62" s="49" t="n">
        <x:v>7</x:v>
      </x:c>
      <x:c r="M62" s="49" t="n">
        <x:v>0</x:v>
      </x:c>
      <x:c r="N62" s="49" t="n">
        <x:v>38.9041</x:v>
      </x:c>
      <x:c r="O62" s="49" t="n">
        <x:v>96.0385</x:v>
      </x:c>
      <x:c r="P62" s="49" t="n">
        <x:f>IF(OR(N62="",O62=""),"",2*N62*O62/(N62+O62))</x:f>
        <x:v>55.376010360701514</x:v>
      </x:c>
      <x:c r="Q62" s="58" t="str">
        <x:v>오열에서_오열2_1시간 측정_1.png; 오열에서_오열2_1시간 측정_2.png</x:v>
      </x:c>
      <x:c r="R62" s="58" t="str">
        <x:v>기존 Excel 대응</x:v>
      </x:c>
      <x:c r="S62" s="59" t="str"/>
    </x:row>
    <x:row r="63" ht="15" hidden="0" customHeight="1">
      <x:c r="A63" s="46" t="str">
        <x:v>OPEN2_1H_R1</x:v>
      </x:c>
      <x:c r="B63" s="47" t="str">
        <x:v>일반</x:v>
      </x:c>
      <x:c r="C63" s="47" t="str">
        <x:v>오픈열람실2</x:v>
      </x:c>
      <x:c r="D63" s="47" t="str">
        <x:v>오픈열람실2 AP</x:v>
      </x:c>
      <x:c r="E63" s="47" t="str">
        <x:v>고정</x:v>
      </x:c>
      <x:c r="F63" s="48" t="n">
        <x:v>60</x:v>
      </x:c>
      <x:c r="G63" s="48" t="n">
        <x:v>1</x:v>
      </x:c>
      <x:c r="H63" s="48" t="n">
        <x:v>5</x:v>
      </x:c>
      <x:c r="I63" s="49" t="n">
        <x:v>-52</x:v>
      </x:c>
      <x:c r="J63" s="49" t="n">
        <x:v>1201</x:v>
      </x:c>
      <x:c r="K63" s="49" t="n">
        <x:v>36</x:v>
      </x:c>
      <x:c r="L63" s="49" t="n">
        <x:v>16</x:v>
      </x:c>
      <x:c r="M63" s="49" t="n">
        <x:v>0</x:v>
      </x:c>
      <x:c r="N63" s="49" t="n">
        <x:v>54.8919</x:v>
      </x:c>
      <x:c r="O63" s="49" t="n">
        <x:v>55.8715</x:v>
      </x:c>
      <x:c r="P63" s="49" t="n">
        <x:f>IF(OR(N63="",O63=""),"",2*N63*O63/(N63+O63))</x:f>
        <x:v>55.37736817125513</x:v>
      </x:c>
      <x:c r="Q63" s="58" t="str">
        <x:v>오열에서_오열2_1시간 측정_1.png; 오열에서_오열2_1시간 측정_2.png</x:v>
      </x:c>
      <x:c r="R63" s="58" t="str">
        <x:v>기존 Excel 대응</x:v>
      </x:c>
      <x:c r="S63" s="59" t="str"/>
    </x:row>
    <x:row r="64" ht="15" hidden="0" customHeight="1">
      <x:c r="A64" s="46" t="str">
        <x:v>OPEN2_1H_R1</x:v>
      </x:c>
      <x:c r="B64" s="47" t="str">
        <x:v>일반</x:v>
      </x:c>
      <x:c r="C64" s="47" t="str">
        <x:v>오픈열람실2</x:v>
      </x:c>
      <x:c r="D64" s="47" t="str">
        <x:v>오픈열람실2 AP</x:v>
      </x:c>
      <x:c r="E64" s="47" t="str">
        <x:v>고정</x:v>
      </x:c>
      <x:c r="F64" s="48" t="n">
        <x:v>60</x:v>
      </x:c>
      <x:c r="G64" s="48" t="n">
        <x:v>1</x:v>
      </x:c>
      <x:c r="H64" s="48" t="n">
        <x:v>6</x:v>
      </x:c>
      <x:c r="I64" s="49" t="n">
        <x:v>-55</x:v>
      </x:c>
      <x:c r="J64" s="49" t="n">
        <x:v>1201</x:v>
      </x:c>
      <x:c r="K64" s="49" t="n">
        <x:v>40</x:v>
      </x:c>
      <x:c r="L64" s="49" t="n">
        <x:v>5</x:v>
      </x:c>
      <x:c r="M64" s="49" t="n">
        <x:v>0</x:v>
      </x:c>
      <x:c r="N64" s="49" t="n">
        <x:v>47.6736</x:v>
      </x:c>
      <x:c r="O64" s="49" t="n">
        <x:v>110.0954</x:v>
      </x:c>
      <x:c r="P64" s="49" t="n">
        <x:f>IF(OR(N64="",O64=""),"",2*N64*O64/(N64+O64))</x:f>
        <x:v>66.53580946117424</x:v>
      </x:c>
      <x:c r="Q64" s="58" t="str">
        <x:v>오열에서_오열2_1시간 측정_1.png; 오열에서_오열2_1시간 측정_2.png</x:v>
      </x:c>
      <x:c r="R64" s="58" t="str">
        <x:v>기존 Excel 대응</x:v>
      </x:c>
      <x:c r="S64" s="59" t="str"/>
    </x:row>
    <x:row r="65" ht="15" hidden="0" customHeight="1">
      <x:c r="A65" s="46" t="str">
        <x:v>OPEN2_1H_R1</x:v>
      </x:c>
      <x:c r="B65" s="47" t="str">
        <x:v>일반</x:v>
      </x:c>
      <x:c r="C65" s="47" t="str">
        <x:v>오픈열람실2</x:v>
      </x:c>
      <x:c r="D65" s="47" t="str">
        <x:v>오픈열람실2 AP</x:v>
      </x:c>
      <x:c r="E65" s="47" t="str">
        <x:v>고정</x:v>
      </x:c>
      <x:c r="F65" s="48" t="n">
        <x:v>60</x:v>
      </x:c>
      <x:c r="G65" s="48" t="n">
        <x:v>1</x:v>
      </x:c>
      <x:c r="H65" s="48" t="n">
        <x:v>7</x:v>
      </x:c>
      <x:c r="I65" s="49" t="n">
        <x:v>-52</x:v>
      </x:c>
      <x:c r="J65" s="49" t="n">
        <x:v>1201</x:v>
      </x:c>
      <x:c r="K65" s="49" t="n">
        <x:v>80</x:v>
      </x:c>
      <x:c r="L65" s="49" t="n">
        <x:v>14</x:v>
      </x:c>
      <x:c r="M65" s="49" t="n">
        <x:v>0</x:v>
      </x:c>
      <x:c r="N65" s="49" t="n">
        <x:v>60.8288</x:v>
      </x:c>
      <x:c r="O65" s="49" t="n">
        <x:v>99.2995</x:v>
      </x:c>
      <x:c r="P65" s="49" t="n">
        <x:f>IF(OR(N65="",O65=""),"",2*N65*O65/(N65+O65))</x:f>
        <x:v>75.4428720669613</x:v>
      </x:c>
      <x:c r="Q65" s="58" t="str">
        <x:v>오열에서_오열2_1시간 측정_1.png; 오열에서_오열2_1시간 측정_2.png</x:v>
      </x:c>
      <x:c r="R65" s="58" t="str">
        <x:v>기존 Excel 대응</x:v>
      </x:c>
      <x:c r="S65" s="59" t="str"/>
    </x:row>
    <x:row r="66" ht="15" hidden="0" customHeight="1">
      <x:c r="A66" s="46" t="str">
        <x:v>OPEN2_1H_R1</x:v>
      </x:c>
      <x:c r="B66" s="47" t="str">
        <x:v>일반</x:v>
      </x:c>
      <x:c r="C66" s="47" t="str">
        <x:v>오픈열람실2</x:v>
      </x:c>
      <x:c r="D66" s="47" t="str">
        <x:v>오픈열람실2 AP</x:v>
      </x:c>
      <x:c r="E66" s="47" t="str">
        <x:v>고정</x:v>
      </x:c>
      <x:c r="F66" s="48" t="n">
        <x:v>60</x:v>
      </x:c>
      <x:c r="G66" s="48" t="n">
        <x:v>1</x:v>
      </x:c>
      <x:c r="H66" s="48" t="n">
        <x:v>8</x:v>
      </x:c>
      <x:c r="I66" s="49" t="n">
        <x:v>-54</x:v>
      </x:c>
      <x:c r="J66" s="49" t="n">
        <x:v>1201</x:v>
      </x:c>
      <x:c r="K66" s="49" t="n">
        <x:v>82</x:v>
      </x:c>
      <x:c r="L66" s="49" t="n">
        <x:v>16</x:v>
      </x:c>
      <x:c r="M66" s="49" t="n">
        <x:v>0</x:v>
      </x:c>
      <x:c r="N66" s="49" t="n">
        <x:v>42.2679</x:v>
      </x:c>
      <x:c r="O66" s="49" t="n">
        <x:v>83.4271</x:v>
      </x:c>
      <x:c r="P66" s="49" t="n">
        <x:f>IF(OR(N66="",O66=""),"",2*N66*O66/(N66+O66))</x:f>
        <x:v>56.10864903281753</x:v>
      </x:c>
      <x:c r="Q66" s="58" t="str">
        <x:v>오열에서_오열2_1시간 측정_1.png; 오열에서_오열2_1시간 측정_2.png</x:v>
      </x:c>
      <x:c r="R66" s="58" t="str">
        <x:v>기존 Excel 대응</x:v>
      </x:c>
      <x:c r="S66" s="59" t="str"/>
    </x:row>
    <x:row r="67" ht="15" hidden="0" customHeight="1">
      <x:c r="A67" s="46" t="str">
        <x:v>OPEN2_1H_R1</x:v>
      </x:c>
      <x:c r="B67" s="47" t="str">
        <x:v>일반</x:v>
      </x:c>
      <x:c r="C67" s="47" t="str">
        <x:v>오픈열람실2</x:v>
      </x:c>
      <x:c r="D67" s="47" t="str">
        <x:v>오픈열람실2 AP</x:v>
      </x:c>
      <x:c r="E67" s="47" t="str">
        <x:v>고정</x:v>
      </x:c>
      <x:c r="F67" s="48" t="n">
        <x:v>60</x:v>
      </x:c>
      <x:c r="G67" s="48" t="n">
        <x:v>1</x:v>
      </x:c>
      <x:c r="H67" s="48" t="n">
        <x:v>9</x:v>
      </x:c>
      <x:c r="I67" s="49" t="n">
        <x:v>-55</x:v>
      </x:c>
      <x:c r="J67" s="49" t="n">
        <x:v>1201</x:v>
      </x:c>
      <x:c r="K67" s="49" t="n">
        <x:v>55</x:v>
      </x:c>
      <x:c r="L67" s="49" t="n">
        <x:v>8</x:v>
      </x:c>
      <x:c r="M67" s="49" t="n">
        <x:v>0</x:v>
      </x:c>
      <x:c r="N67" s="49" t="n">
        <x:v>103.3804</x:v>
      </x:c>
      <x:c r="O67" s="49" t="n">
        <x:v>75.447</x:v>
      </x:c>
      <x:c r="P67" s="49" t="n">
        <x:f>IF(OR(N67="",O67=""),"",2*N67*O67/(N67+O67))</x:f>
        <x:v>87.23205771375079</x:v>
      </x:c>
      <x:c r="Q67" s="58" t="str">
        <x:v>오열에서_오열2_1시간 측정_1.png; 오열에서_오열2_1시간 측정_2.png</x:v>
      </x:c>
      <x:c r="R67" s="58" t="str">
        <x:v>기존 Excel 대응</x:v>
      </x:c>
      <x:c r="S67" s="59" t="str"/>
    </x:row>
    <x:row r="68" ht="15" hidden="0" customHeight="1">
      <x:c r="A68" s="46" t="str">
        <x:v>OPEN2_1H_R1</x:v>
      </x:c>
      <x:c r="B68" s="47" t="str">
        <x:v>일반</x:v>
      </x:c>
      <x:c r="C68" s="47" t="str">
        <x:v>오픈열람실2</x:v>
      </x:c>
      <x:c r="D68" s="47" t="str">
        <x:v>오픈열람실2 AP</x:v>
      </x:c>
      <x:c r="E68" s="47" t="str">
        <x:v>고정</x:v>
      </x:c>
      <x:c r="F68" s="48" t="n">
        <x:v>60</x:v>
      </x:c>
      <x:c r="G68" s="48" t="n">
        <x:v>1</x:v>
      </x:c>
      <x:c r="H68" s="48" t="n">
        <x:v>10</x:v>
      </x:c>
      <x:c r="I68" s="49" t="n">
        <x:v>-53</x:v>
      </x:c>
      <x:c r="J68" s="49" t="n">
        <x:v>1201</x:v>
      </x:c>
      <x:c r="K68" s="49" t="n">
        <x:v>21</x:v>
      </x:c>
      <x:c r="L68" s="49" t="n">
        <x:v>4</x:v>
      </x:c>
      <x:c r="M68" s="49" t="n">
        <x:v>0</x:v>
      </x:c>
      <x:c r="N68" s="49" t="n">
        <x:v>68.7764</x:v>
      </x:c>
      <x:c r="O68" s="49" t="n">
        <x:v>107.1874</x:v>
      </x:c>
      <x:c r="P68" s="49" t="n">
        <x:f>IF(OR(N68="",O68=""),"",2*N68*O68/(N68+O68))</x:f>
        <x:v>83.78954645625976</x:v>
      </x:c>
      <x:c r="Q68" s="58" t="str">
        <x:v>오열에서_오열2_1시간 측정_1.png; 오열에서_오열2_1시간 측정_2.png</x:v>
      </x:c>
      <x:c r="R68" s="58" t="str">
        <x:v>기존 Excel 대응</x:v>
      </x:c>
      <x:c r="S68" s="59" t="str"/>
    </x:row>
    <x:row r="69" ht="15" hidden="0" customHeight="1">
      <x:c r="A69" s="46" t="str">
        <x:v>OPEN2_1H_R1</x:v>
      </x:c>
      <x:c r="B69" s="47" t="str">
        <x:v>일반</x:v>
      </x:c>
      <x:c r="C69" s="47" t="str">
        <x:v>오픈열람실2</x:v>
      </x:c>
      <x:c r="D69" s="47" t="str">
        <x:v>오픈열람실2 AP</x:v>
      </x:c>
      <x:c r="E69" s="47" t="str">
        <x:v>고정</x:v>
      </x:c>
      <x:c r="F69" s="48" t="n">
        <x:v>60</x:v>
      </x:c>
      <x:c r="G69" s="48" t="n">
        <x:v>1</x:v>
      </x:c>
      <x:c r="H69" s="48" t="n">
        <x:v>11</x:v>
      </x:c>
      <x:c r="I69" s="49" t="n">
        <x:v>-56</x:v>
      </x:c>
      <x:c r="J69" s="49" t="n">
        <x:v>1201</x:v>
      </x:c>
      <x:c r="K69" s="49" t="n">
        <x:v>42</x:v>
      </x:c>
      <x:c r="L69" s="49" t="n">
        <x:v>5</x:v>
      </x:c>
      <x:c r="M69" s="49" t="n">
        <x:v>0</x:v>
      </x:c>
      <x:c r="N69" s="49" t="n">
        <x:v>86.0429</x:v>
      </x:c>
      <x:c r="O69" s="49" t="n">
        <x:v>79.2102</x:v>
      </x:c>
      <x:c r="P69" s="49" t="n">
        <x:f>IF(OR(N69="",O69=""),"",2*N69*O69/(N69+O69))</x:f>
        <x:v>82.48529458848276</x:v>
      </x:c>
      <x:c r="Q69" s="58" t="str">
        <x:v>오열에서_오열2_1시간 측정_1.png; 오열에서_오열2_1시간 측정_2.png</x:v>
      </x:c>
      <x:c r="R69" s="58" t="str">
        <x:v>기존 Excel 대응</x:v>
      </x:c>
      <x:c r="S69" s="59" t="str"/>
    </x:row>
    <x:row r="70" ht="15" hidden="0" customHeight="1">
      <x:c r="A70" s="46" t="str">
        <x:v>OPEN2_1H_R1</x:v>
      </x:c>
      <x:c r="B70" s="47" t="str">
        <x:v>일반</x:v>
      </x:c>
      <x:c r="C70" s="47" t="str">
        <x:v>오픈열람실2</x:v>
      </x:c>
      <x:c r="D70" s="47" t="str">
        <x:v>오픈열람실2 AP</x:v>
      </x:c>
      <x:c r="E70" s="47" t="str">
        <x:v>고정</x:v>
      </x:c>
      <x:c r="F70" s="48" t="n">
        <x:v>60</x:v>
      </x:c>
      <x:c r="G70" s="48" t="n">
        <x:v>1</x:v>
      </x:c>
      <x:c r="H70" s="48" t="n">
        <x:v>12</x:v>
      </x:c>
      <x:c r="I70" s="49" t="n">
        <x:v>-54</x:v>
      </x:c>
      <x:c r="J70" s="49" t="n">
        <x:v>1201</x:v>
      </x:c>
      <x:c r="K70" s="49" t="n">
        <x:v>38</x:v>
      </x:c>
      <x:c r="L70" s="49" t="n">
        <x:v>5</x:v>
      </x:c>
      <x:c r="M70" s="49" t="n">
        <x:v>0</x:v>
      </x:c>
      <x:c r="N70" s="49" t="n">
        <x:v>4.583</x:v>
      </x:c>
      <x:c r="O70" s="49" t="n">
        <x:v>87.2633</x:v>
      </x:c>
      <x:c r="P70" s="49" t="n">
        <x:f>IF(OR(N70="",O70=""),"",2*N70*O70/(N70+O70))</x:f>
        <x:v>8.708629610555898</x:v>
      </x:c>
      <x:c r="Q70" s="58" t="str">
        <x:v>오열에서_오열2_1시간 측정_1.png; 오열에서_오열2_1시간 측정_2.png</x:v>
      </x:c>
      <x:c r="R70" s="58" t="str">
        <x:v>기존 Excel 대응</x:v>
      </x:c>
      <x:c r="S70" s="59" t="str"/>
    </x:row>
    <x:row r="71" ht="15" hidden="0" customHeight="1">
      <x:c r="A71" s="46" t="str">
        <x:v>OPEN2_1H_R1</x:v>
      </x:c>
      <x:c r="B71" s="47" t="str">
        <x:v>일반</x:v>
      </x:c>
      <x:c r="C71" s="47" t="str">
        <x:v>오픈열람실2</x:v>
      </x:c>
      <x:c r="D71" s="47" t="str">
        <x:v>오픈열람실2 AP</x:v>
      </x:c>
      <x:c r="E71" s="47" t="str">
        <x:v>고정</x:v>
      </x:c>
      <x:c r="F71" s="48" t="n">
        <x:v>60</x:v>
      </x:c>
      <x:c r="G71" s="48" t="n">
        <x:v>1</x:v>
      </x:c>
      <x:c r="H71" s="48" t="n">
        <x:v>13</x:v>
      </x:c>
      <x:c r="I71" s="49" t="n">
        <x:v>-56</x:v>
      </x:c>
      <x:c r="J71" s="49" t="n">
        <x:v>1201</x:v>
      </x:c>
      <x:c r="K71" s="49" t="n">
        <x:v>25</x:v>
      </x:c>
      <x:c r="L71" s="49" t="n">
        <x:v>4</x:v>
      </x:c>
      <x:c r="M71" s="49" t="n">
        <x:v>0</x:v>
      </x:c>
      <x:c r="N71" s="49" t="n">
        <x:v>80.3022</x:v>
      </x:c>
      <x:c r="O71" s="49" t="n">
        <x:v>87.6639</x:v>
      </x:c>
      <x:c r="P71" s="49" t="n">
        <x:f>IF(OR(N71="",O71=""),"",2*N71*O71/(N71+O71))</x:f>
        <x:v>83.82172391428985</x:v>
      </x:c>
      <x:c r="Q71" s="58" t="str">
        <x:v>오열에서_오열2_1시간 측정_1.png; 오열에서_오열2_1시간 측정_2.png</x:v>
      </x:c>
      <x:c r="R71" s="58" t="str">
        <x:v>기존 Excel 대응</x:v>
      </x:c>
      <x:c r="S71" s="59" t="str"/>
    </x:row>
    <x:row r="72" ht="15" hidden="0" customHeight="1">
      <x:c r="A72" s="46" t="str">
        <x:v>OPEN2_1H_R1</x:v>
      </x:c>
      <x:c r="B72" s="47" t="str">
        <x:v>일반</x:v>
      </x:c>
      <x:c r="C72" s="47" t="str">
        <x:v>오픈열람실2</x:v>
      </x:c>
      <x:c r="D72" s="47" t="str">
        <x:v>오픈열람실2 AP</x:v>
      </x:c>
      <x:c r="E72" s="47" t="str">
        <x:v>고정</x:v>
      </x:c>
      <x:c r="F72" s="48" t="n">
        <x:v>60</x:v>
      </x:c>
      <x:c r="G72" s="48" t="n">
        <x:v>1</x:v>
      </x:c>
      <x:c r="H72" s="48" t="n">
        <x:v>14</x:v>
      </x:c>
      <x:c r="I72" s="49" t="n">
        <x:v>-53</x:v>
      </x:c>
      <x:c r="J72" s="49" t="n">
        <x:v>1201</x:v>
      </x:c>
      <x:c r="K72" s="49" t="n">
        <x:v>21</x:v>
      </x:c>
      <x:c r="L72" s="49" t="n">
        <x:v>11</x:v>
      </x:c>
      <x:c r="M72" s="49" t="n">
        <x:v>0</x:v>
      </x:c>
      <x:c r="N72" s="49" t="n">
        <x:v>99.0845</x:v>
      </x:c>
      <x:c r="O72" s="49" t="n">
        <x:v>42.7644</x:v>
      </x:c>
      <x:c r="P72" s="49" t="n">
        <x:f>IF(OR(N72="",O72=""),"",2*N72*O72/(N72+O72))</x:f>
        <x:v>59.74370180946063</x:v>
      </x:c>
      <x:c r="Q72" s="58" t="str">
        <x:v>오열에서_오열2_1시간 측정_1.png; 오열에서_오열2_1시간 측정_2.png</x:v>
      </x:c>
      <x:c r="R72" s="58" t="str">
        <x:v>기존 Excel 대응</x:v>
      </x:c>
      <x:c r="S72" s="59" t="str"/>
    </x:row>
    <x:row r="73" ht="15" hidden="0" customHeight="1">
      <x:c r="A73" s="46" t="str">
        <x:v>OPEN2_1H_R1</x:v>
      </x:c>
      <x:c r="B73" s="47" t="str">
        <x:v>일반</x:v>
      </x:c>
      <x:c r="C73" s="47" t="str">
        <x:v>오픈열람실2</x:v>
      </x:c>
      <x:c r="D73" s="47" t="str">
        <x:v>오픈열람실2 AP</x:v>
      </x:c>
      <x:c r="E73" s="47" t="str">
        <x:v>고정</x:v>
      </x:c>
      <x:c r="F73" s="48" t="n">
        <x:v>60</x:v>
      </x:c>
      <x:c r="G73" s="48" t="n">
        <x:v>1</x:v>
      </x:c>
      <x:c r="H73" s="48" t="n">
        <x:v>15</x:v>
      </x:c>
      <x:c r="I73" s="49" t="n">
        <x:v>-55</x:v>
      </x:c>
      <x:c r="J73" s="49" t="n">
        <x:v>1201</x:v>
      </x:c>
      <x:c r="K73" s="49" t="n">
        <x:v>47</x:v>
      </x:c>
      <x:c r="L73" s="49" t="n">
        <x:v>6</x:v>
      </x:c>
      <x:c r="M73" s="49" t="n">
        <x:v>0</x:v>
      </x:c>
      <x:c r="N73" s="49" t="n">
        <x:v>126.7305</x:v>
      </x:c>
      <x:c r="O73" s="49" t="n">
        <x:v>44.228</x:v>
      </x:c>
      <x:c r="P73" s="49" t="n">
        <x:f>IF(OR(N73="",O73=""),"",2*N73*O73/(N73+O73))</x:f>
        <x:v>65.57189673517257</x:v>
      </x:c>
      <x:c r="Q73" s="58" t="str">
        <x:v>오열에서_오열2_1시간 측정_1.png; 오열에서_오열2_1시간 측정_2.png</x:v>
      </x:c>
      <x:c r="R73" s="58" t="str">
        <x:v>기존 Excel 대응</x:v>
      </x:c>
      <x:c r="S73" s="59" t="str"/>
    </x:row>
    <x:row r="74" ht="15" hidden="0" customHeight="1">
      <x:c r="A74" s="46" t="str">
        <x:v>OPEN2_1H_R1</x:v>
      </x:c>
      <x:c r="B74" s="47" t="str">
        <x:v>일반</x:v>
      </x:c>
      <x:c r="C74" s="47" t="str">
        <x:v>오픈열람실2</x:v>
      </x:c>
      <x:c r="D74" s="47" t="str">
        <x:v>오픈열람실2 AP</x:v>
      </x:c>
      <x:c r="E74" s="47" t="str">
        <x:v>고정</x:v>
      </x:c>
      <x:c r="F74" s="48" t="n">
        <x:v>60</x:v>
      </x:c>
      <x:c r="G74" s="48" t="n">
        <x:v>1</x:v>
      </x:c>
      <x:c r="H74" s="48" t="n">
        <x:v>16</x:v>
      </x:c>
      <x:c r="I74" s="49" t="n">
        <x:v>-52</x:v>
      </x:c>
      <x:c r="J74" s="49" t="n">
        <x:v>1201</x:v>
      </x:c>
      <x:c r="K74" s="49" t="n">
        <x:v>61</x:v>
      </x:c>
      <x:c r="L74" s="49" t="n">
        <x:v>11</x:v>
      </x:c>
      <x:c r="M74" s="49" t="n">
        <x:v>0</x:v>
      </x:c>
      <x:c r="N74" s="49" t="n">
        <x:v>158.4127</x:v>
      </x:c>
      <x:c r="O74" s="49" t="n">
        <x:v>64.1851</x:v>
      </x:c>
      <x:c r="P74" s="49" t="n">
        <x:f>IF(OR(N74="",O74=""),"",2*N74*O74/(N74+O74))</x:f>
        <x:v>91.35521546726878</x:v>
      </x:c>
      <x:c r="Q74" s="58" t="str">
        <x:v>오열에서_오열2_1시간 측정_1.png; 오열에서_오열2_1시간 측정_2.png</x:v>
      </x:c>
      <x:c r="R74" s="58" t="str">
        <x:v>기존 Excel 대응</x:v>
      </x:c>
      <x:c r="S74" s="59" t="str"/>
    </x:row>
    <x:row r="75" ht="15" hidden="0" customHeight="1">
      <x:c r="A75" s="46" t="str">
        <x:v>OPEN2_1H_R1</x:v>
      </x:c>
      <x:c r="B75" s="47" t="str">
        <x:v>일반</x:v>
      </x:c>
      <x:c r="C75" s="47" t="str">
        <x:v>오픈열람실2</x:v>
      </x:c>
      <x:c r="D75" s="47" t="str">
        <x:v>오픈열람실2 AP</x:v>
      </x:c>
      <x:c r="E75" s="47" t="str">
        <x:v>고정</x:v>
      </x:c>
      <x:c r="F75" s="48" t="n">
        <x:v>60</x:v>
      </x:c>
      <x:c r="G75" s="48" t="n">
        <x:v>1</x:v>
      </x:c>
      <x:c r="H75" s="48" t="n">
        <x:v>17</x:v>
      </x:c>
      <x:c r="I75" s="49" t="n">
        <x:v>-52</x:v>
      </x:c>
      <x:c r="J75" s="49" t="n">
        <x:v>1201</x:v>
      </x:c>
      <x:c r="K75" s="49" t="n">
        <x:v>32</x:v>
      </x:c>
      <x:c r="L75" s="49" t="n">
        <x:v>5</x:v>
      </x:c>
      <x:c r="M75" s="49" t="n">
        <x:v>0</x:v>
      </x:c>
      <x:c r="N75" s="49" t="n">
        <x:v>46.9153</x:v>
      </x:c>
      <x:c r="O75" s="49" t="n">
        <x:v>73.5567</x:v>
      </x:c>
      <x:c r="P75" s="49" t="n">
        <x:f>IF(OR(N75="",O75=""),"",2*N75*O75/(N75+O75))</x:f>
        <x:v>57.290235864101206</x:v>
      </x:c>
      <x:c r="Q75" s="58" t="str">
        <x:v>오열에서_오열2_1시간 측정_1.png; 오열에서_오열2_1시간 측정_2.png</x:v>
      </x:c>
      <x:c r="R75" s="58" t="str">
        <x:v>기존 Excel 대응</x:v>
      </x:c>
      <x:c r="S75" s="59" t="str"/>
    </x:row>
    <x:row r="76" ht="15" hidden="0" customHeight="1">
      <x:c r="A76" s="46" t="str">
        <x:v>OPEN2_1H_R1</x:v>
      </x:c>
      <x:c r="B76" s="47" t="str">
        <x:v>일반</x:v>
      </x:c>
      <x:c r="C76" s="47" t="str">
        <x:v>오픈열람실2</x:v>
      </x:c>
      <x:c r="D76" s="47" t="str">
        <x:v>오픈열람실2 AP</x:v>
      </x:c>
      <x:c r="E76" s="47" t="str">
        <x:v>고정</x:v>
      </x:c>
      <x:c r="F76" s="48" t="n">
        <x:v>60</x:v>
      </x:c>
      <x:c r="G76" s="48" t="n">
        <x:v>1</x:v>
      </x:c>
      <x:c r="H76" s="48" t="n">
        <x:v>18</x:v>
      </x:c>
      <x:c r="I76" s="49" t="n">
        <x:v>-54</x:v>
      </x:c>
      <x:c r="J76" s="49" t="n">
        <x:v>1201</x:v>
      </x:c>
      <x:c r="K76" s="49" t="n">
        <x:v>29</x:v>
      </x:c>
      <x:c r="L76" s="49" t="n">
        <x:v>7</x:v>
      </x:c>
      <x:c r="M76" s="49" t="n">
        <x:v>0</x:v>
      </x:c>
      <x:c r="N76" s="49" t="n">
        <x:v>116.2395</x:v>
      </x:c>
      <x:c r="O76" s="49" t="n">
        <x:v>105.0953</x:v>
      </x:c>
      <x:c r="P76" s="49" t="n">
        <x:f>IF(OR(N76="",O76=""),"",2*N76*O76/(N76+O76))</x:f>
        <x:v>110.38684494575638</x:v>
      </x:c>
      <x:c r="Q76" s="58" t="str">
        <x:v>오열에서_오열2_1시간 측정_1.png; 오열에서_오열2_1시간 측정_2.png</x:v>
      </x:c>
      <x:c r="R76" s="58" t="str">
        <x:v>기존 Excel 대응</x:v>
      </x:c>
      <x:c r="S76" s="59" t="str"/>
    </x:row>
    <x:row r="77" ht="15" hidden="0" customHeight="1">
      <x:c r="A77" s="46" t="str">
        <x:v>OPEN2_1H_R1</x:v>
      </x:c>
      <x:c r="B77" s="47" t="str">
        <x:v>일반</x:v>
      </x:c>
      <x:c r="C77" s="47" t="str">
        <x:v>오픈열람실2</x:v>
      </x:c>
      <x:c r="D77" s="47" t="str">
        <x:v>오픈열람실2 AP</x:v>
      </x:c>
      <x:c r="E77" s="47" t="str">
        <x:v>고정</x:v>
      </x:c>
      <x:c r="F77" s="48" t="n">
        <x:v>60</x:v>
      </x:c>
      <x:c r="G77" s="48" t="n">
        <x:v>1</x:v>
      </x:c>
      <x:c r="H77" s="48" t="n">
        <x:v>19</x:v>
      </x:c>
      <x:c r="I77" s="49" t="n">
        <x:v>-55</x:v>
      </x:c>
      <x:c r="J77" s="49" t="n">
        <x:v>1201</x:v>
      </x:c>
      <x:c r="K77" s="49" t="n">
        <x:v>26</x:v>
      </x:c>
      <x:c r="L77" s="49" t="n">
        <x:v>5</x:v>
      </x:c>
      <x:c r="M77" s="49" t="n">
        <x:v>0</x:v>
      </x:c>
      <x:c r="N77" s="49" t="n">
        <x:v>140.1645</x:v>
      </x:c>
      <x:c r="O77" s="49" t="n">
        <x:v>85.1217</x:v>
      </x:c>
      <x:c r="P77" s="49" t="n">
        <x:f>IF(OR(N77="",O77=""),"",2*N77*O77/(N77+O77))</x:f>
        <x:v>105.91896458504783</x:v>
      </x:c>
      <x:c r="Q77" s="58" t="str">
        <x:v>오열에서_오열2_1시간 측정_1.png; 오열에서_오열2_1시간 측정_2.png</x:v>
      </x:c>
      <x:c r="R77" s="58" t="str">
        <x:v>기존 Excel 대응</x:v>
      </x:c>
      <x:c r="S77" s="59" t="str"/>
    </x:row>
    <x:row r="78" ht="15" hidden="0" customHeight="1">
      <x:c r="A78" s="46" t="str">
        <x:v>OPEN2_1H_R1</x:v>
      </x:c>
      <x:c r="B78" s="47" t="str">
        <x:v>일반</x:v>
      </x:c>
      <x:c r="C78" s="47" t="str">
        <x:v>오픈열람실2</x:v>
      </x:c>
      <x:c r="D78" s="47" t="str">
        <x:v>오픈열람실2 AP</x:v>
      </x:c>
      <x:c r="E78" s="47" t="str">
        <x:v>고정</x:v>
      </x:c>
      <x:c r="F78" s="48" t="n">
        <x:v>60</x:v>
      </x:c>
      <x:c r="G78" s="48" t="n">
        <x:v>1</x:v>
      </x:c>
      <x:c r="H78" s="48" t="n">
        <x:v>20</x:v>
      </x:c>
      <x:c r="I78" s="49" t="n">
        <x:v>-51</x:v>
      </x:c>
      <x:c r="J78" s="49" t="n">
        <x:v>1201</x:v>
      </x:c>
      <x:c r="K78" s="49" t="n">
        <x:v>18</x:v>
      </x:c>
      <x:c r="L78" s="49" t="n">
        <x:v>5</x:v>
      </x:c>
      <x:c r="M78" s="49" t="n">
        <x:v>0</x:v>
      </x:c>
      <x:c r="N78" s="49" t="n">
        <x:v>36.8756</x:v>
      </x:c>
      <x:c r="O78" s="49" t="n">
        <x:v>99.1482</x:v>
      </x:c>
      <x:c r="P78" s="49" t="n">
        <x:f>IF(OR(N78="",O78=""),"",2*N78*O78/(N78+O78))</x:f>
        <x:v>53.75749484898966</x:v>
      </x:c>
      <x:c r="Q78" s="58" t="str">
        <x:v>오열에서_오열2_1시간 측정_1.png; 오열에서_오열2_1시간 측정_2.png</x:v>
      </x:c>
      <x:c r="R78" s="58" t="str">
        <x:v>기존 Excel 대응</x:v>
      </x:c>
      <x:c r="S78" s="59" t="str"/>
    </x:row>
    <x:row r="79" ht="15" hidden="0" customHeight="1">
      <x:c r="A79" s="46" t="str">
        <x:v>OPEN2_1H_R1</x:v>
      </x:c>
      <x:c r="B79" s="47" t="str">
        <x:v>일반</x:v>
      </x:c>
      <x:c r="C79" s="47" t="str">
        <x:v>오픈열람실2</x:v>
      </x:c>
      <x:c r="D79" s="47" t="str">
        <x:v>오픈열람실2 AP</x:v>
      </x:c>
      <x:c r="E79" s="47" t="str">
        <x:v>고정</x:v>
      </x:c>
      <x:c r="F79" s="48" t="n">
        <x:v>60</x:v>
      </x:c>
      <x:c r="G79" s="48" t="n">
        <x:v>1</x:v>
      </x:c>
      <x:c r="H79" s="48" t="n">
        <x:v>21</x:v>
      </x:c>
      <x:c r="I79" s="49" t="n">
        <x:v>-52</x:v>
      </x:c>
      <x:c r="J79" s="49" t="n">
        <x:v>1201</x:v>
      </x:c>
      <x:c r="K79" s="49" t="n">
        <x:v>29</x:v>
      </x:c>
      <x:c r="L79" s="49" t="n">
        <x:v>7</x:v>
      </x:c>
      <x:c r="M79" s="49" t="n">
        <x:v>0</x:v>
      </x:c>
      <x:c r="N79" s="49" t="n">
        <x:v>28.2374</x:v>
      </x:c>
      <x:c r="O79" s="49" t="n">
        <x:v>87.8307</x:v>
      </x:c>
      <x:c r="P79" s="49" t="n">
        <x:f>IF(OR(N79="",O79=""),"",2*N79*O79/(N79+O79))</x:f>
        <x:v>42.73543907723138</x:v>
      </x:c>
      <x:c r="Q79" s="58" t="str">
        <x:v>오열에서_오열2_1시간 측정_1.png; 오열에서_오열2_1시간 측정_2.png</x:v>
      </x:c>
      <x:c r="R79" s="58" t="str">
        <x:v>기존 Excel 대응</x:v>
      </x:c>
      <x:c r="S79" s="59" t="str"/>
    </x:row>
    <x:row r="80" ht="15" hidden="0" customHeight="1">
      <x:c r="A80" s="46" t="str">
        <x:v>OPEN2_1H_R1</x:v>
      </x:c>
      <x:c r="B80" s="47" t="str">
        <x:v>일반</x:v>
      </x:c>
      <x:c r="C80" s="47" t="str">
        <x:v>오픈열람실2</x:v>
      </x:c>
      <x:c r="D80" s="47" t="str">
        <x:v>오픈열람실2 AP</x:v>
      </x:c>
      <x:c r="E80" s="47" t="str">
        <x:v>고정</x:v>
      </x:c>
      <x:c r="F80" s="48" t="n">
        <x:v>60</x:v>
      </x:c>
      <x:c r="G80" s="48" t="n">
        <x:v>1</x:v>
      </x:c>
      <x:c r="H80" s="48" t="n">
        <x:v>22</x:v>
      </x:c>
      <x:c r="I80" s="49" t="n">
        <x:v>-52</x:v>
      </x:c>
      <x:c r="J80" s="49" t="n">
        <x:v>1201</x:v>
      </x:c>
      <x:c r="K80" s="49" t="n">
        <x:v>52</x:v>
      </x:c>
      <x:c r="L80" s="49" t="n">
        <x:v>5</x:v>
      </x:c>
      <x:c r="M80" s="49" t="n">
        <x:v>0</x:v>
      </x:c>
      <x:c r="N80" s="49" t="n">
        <x:v>132.1834</x:v>
      </x:c>
      <x:c r="O80" s="49" t="n">
        <x:v>99.445</x:v>
      </x:c>
      <x:c r="P80" s="49" t="n">
        <x:f>IF(OR(N80="",O80=""),"",2*N80*O80/(N80+O80))</x:f>
        <x:v>113.50057430781372</x:v>
      </x:c>
      <x:c r="Q80" s="58" t="str">
        <x:v>오열에서_오열2_1시간 측정_1.png; 오열에서_오열2_1시간 측정_2.png</x:v>
      </x:c>
      <x:c r="R80" s="58" t="str">
        <x:v>기존 Excel 대응</x:v>
      </x:c>
      <x:c r="S80" s="59" t="str"/>
    </x:row>
    <x:row r="81" ht="15" hidden="0" customHeight="1">
      <x:c r="A81" s="46" t="str">
        <x:v>OPEN2_1H_R1</x:v>
      </x:c>
      <x:c r="B81" s="47" t="str">
        <x:v>일반</x:v>
      </x:c>
      <x:c r="C81" s="47" t="str">
        <x:v>오픈열람실2</x:v>
      </x:c>
      <x:c r="D81" s="47" t="str">
        <x:v>오픈열람실2 AP</x:v>
      </x:c>
      <x:c r="E81" s="47" t="str">
        <x:v>고정</x:v>
      </x:c>
      <x:c r="F81" s="48" t="n">
        <x:v>60</x:v>
      </x:c>
      <x:c r="G81" s="48" t="n">
        <x:v>1</x:v>
      </x:c>
      <x:c r="H81" s="48" t="n">
        <x:v>23</x:v>
      </x:c>
      <x:c r="I81" s="49" t="n">
        <x:v>-52</x:v>
      </x:c>
      <x:c r="J81" s="49" t="n">
        <x:v>1201</x:v>
      </x:c>
      <x:c r="K81" s="49" t="n">
        <x:v>35</x:v>
      </x:c>
      <x:c r="L81" s="49" t="n">
        <x:v>4</x:v>
      </x:c>
      <x:c r="M81" s="49" t="n">
        <x:v>0</x:v>
      </x:c>
      <x:c r="N81" s="49" t="n">
        <x:v>161.1302</x:v>
      </x:c>
      <x:c r="O81" s="49" t="n">
        <x:v>133.0922</x:v>
      </x:c>
      <x:c r="P81" s="49" t="n">
        <x:f>IF(OR(N81="",O81=""),"",2*N81*O81/(N81+O81))</x:f>
        <x:v>145.77525575510228</x:v>
      </x:c>
      <x:c r="Q81" s="58" t="str">
        <x:v>오열에서_오열2_1시간 측정_1.png; 오열에서_오열2_1시간 측정_2.png</x:v>
      </x:c>
      <x:c r="R81" s="58" t="str">
        <x:v>기존 Excel 대응</x:v>
      </x:c>
      <x:c r="S81" s="59" t="str"/>
    </x:row>
    <x:row r="82" ht="15" hidden="0" customHeight="1">
      <x:c r="A82" s="46" t="str">
        <x:v>OPEN2_1H_R1</x:v>
      </x:c>
      <x:c r="B82" s="47" t="str">
        <x:v>일반</x:v>
      </x:c>
      <x:c r="C82" s="47" t="str">
        <x:v>오픈열람실2</x:v>
      </x:c>
      <x:c r="D82" s="47" t="str">
        <x:v>오픈열람실2 AP</x:v>
      </x:c>
      <x:c r="E82" s="47" t="str">
        <x:v>고정</x:v>
      </x:c>
      <x:c r="F82" s="48" t="n">
        <x:v>60</x:v>
      </x:c>
      <x:c r="G82" s="48" t="n">
        <x:v>1</x:v>
      </x:c>
      <x:c r="H82" s="48" t="n">
        <x:v>24</x:v>
      </x:c>
      <x:c r="I82" s="49" t="n">
        <x:v>-53</x:v>
      </x:c>
      <x:c r="J82" s="49" t="n">
        <x:v>1201</x:v>
      </x:c>
      <x:c r="K82" s="49" t="n">
        <x:v>17</x:v>
      </x:c>
      <x:c r="L82" s="49" t="n">
        <x:v>5</x:v>
      </x:c>
      <x:c r="M82" s="49" t="n">
        <x:v>0</x:v>
      </x:c>
      <x:c r="N82" s="49" t="n">
        <x:v>94.396</x:v>
      </x:c>
      <x:c r="O82" s="49" t="n">
        <x:v>108.8673</x:v>
      </x:c>
      <x:c r="P82" s="49" t="n">
        <x:f>IF(OR(N82="",O82=""),"",2*N82*O82/(N82+O82))</x:f>
        <x:v>101.11650898907966</x:v>
      </x:c>
      <x:c r="Q82" s="58" t="str">
        <x:v>오열에서_오열2_1시간 측정_1.png; 오열에서_오열2_1시간 측정_2.png</x:v>
      </x:c>
      <x:c r="R82" s="58" t="str">
        <x:v>기존 Excel 대응</x:v>
      </x:c>
      <x:c r="S82" s="59" t="str"/>
    </x:row>
    <x:row r="83" ht="15" hidden="0" customHeight="1">
      <x:c r="A83" s="46" t="str">
        <x:v>OPEN2_1H_R1</x:v>
      </x:c>
      <x:c r="B83" s="47" t="str">
        <x:v>일반</x:v>
      </x:c>
      <x:c r="C83" s="47" t="str">
        <x:v>오픈열람실2</x:v>
      </x:c>
      <x:c r="D83" s="47" t="str">
        <x:v>오픈열람실2 AP</x:v>
      </x:c>
      <x:c r="E83" s="47" t="str">
        <x:v>고정</x:v>
      </x:c>
      <x:c r="F83" s="48" t="n">
        <x:v>60</x:v>
      </x:c>
      <x:c r="G83" s="48" t="n">
        <x:v>1</x:v>
      </x:c>
      <x:c r="H83" s="48" t="n">
        <x:v>25</x:v>
      </x:c>
      <x:c r="I83" s="49" t="n">
        <x:v>-53</x:v>
      </x:c>
      <x:c r="J83" s="49" t="n">
        <x:v>1201</x:v>
      </x:c>
      <x:c r="K83" s="49" t="n">
        <x:v>19</x:v>
      </x:c>
      <x:c r="L83" s="49" t="n">
        <x:v>5</x:v>
      </x:c>
      <x:c r="M83" s="49" t="n">
        <x:v>0</x:v>
      </x:c>
      <x:c r="N83" s="49" t="n">
        <x:v>101.6257</x:v>
      </x:c>
      <x:c r="O83" s="49" t="n">
        <x:v>104.3669</x:v>
      </x:c>
      <x:c r="P83" s="49" t="n">
        <x:f>IF(OR(N83="",O83=""),"",2*N83*O83/(N83+O83))</x:f>
        <x:v>102.97806105005715</x:v>
      </x:c>
      <x:c r="Q83" s="58" t="str">
        <x:v>오열에서_오열2_1시간 측정_1.png; 오열에서_오열2_1시간 측정_2.png</x:v>
      </x:c>
      <x:c r="R83" s="58" t="str">
        <x:v>기존 Excel 대응</x:v>
      </x:c>
      <x:c r="S83" s="59" t="str"/>
    </x:row>
    <x:row r="84" ht="15" hidden="0" customHeight="1">
      <x:c r="A84" s="46" t="str">
        <x:v>OPEN2_1H_R1</x:v>
      </x:c>
      <x:c r="B84" s="47" t="str">
        <x:v>일반</x:v>
      </x:c>
      <x:c r="C84" s="47" t="str">
        <x:v>오픈열람실2</x:v>
      </x:c>
      <x:c r="D84" s="47" t="str">
        <x:v>오픈열람실2 AP</x:v>
      </x:c>
      <x:c r="E84" s="47" t="str">
        <x:v>고정</x:v>
      </x:c>
      <x:c r="F84" s="48" t="n">
        <x:v>60</x:v>
      </x:c>
      <x:c r="G84" s="48" t="n">
        <x:v>1</x:v>
      </x:c>
      <x:c r="H84" s="48" t="n">
        <x:v>26</x:v>
      </x:c>
      <x:c r="I84" s="49" t="n">
        <x:v>-52</x:v>
      </x:c>
      <x:c r="J84" s="49" t="n">
        <x:v>1201</x:v>
      </x:c>
      <x:c r="K84" s="49" t="n">
        <x:v>29</x:v>
      </x:c>
      <x:c r="L84" s="49" t="n">
        <x:v>5</x:v>
      </x:c>
      <x:c r="M84" s="49" t="n">
        <x:v>0</x:v>
      </x:c>
      <x:c r="N84" s="49" t="n">
        <x:v>105.5727</x:v>
      </x:c>
      <x:c r="O84" s="49" t="n">
        <x:v>89.243</x:v>
      </x:c>
      <x:c r="P84" s="49" t="n">
        <x:f>IF(OR(N84="",O84=""),"",2*N84*O84/(N84+O84))</x:f>
        <x:v>96.72346187807246</x:v>
      </x:c>
      <x:c r="Q84" s="58" t="str">
        <x:v>오열에서_오열2_1시간 측정_1.png; 오열에서_오열2_1시간 측정_2.png</x:v>
      </x:c>
      <x:c r="R84" s="58" t="str">
        <x:v>기존 Excel 대응</x:v>
      </x:c>
      <x:c r="S84" s="59" t="str"/>
    </x:row>
    <x:row r="85" ht="15" hidden="0" customHeight="1">
      <x:c r="A85" s="46" t="str">
        <x:v>OPEN2_1H_R1</x:v>
      </x:c>
      <x:c r="B85" s="47" t="str">
        <x:v>일반</x:v>
      </x:c>
      <x:c r="C85" s="47" t="str">
        <x:v>오픈열람실2</x:v>
      </x:c>
      <x:c r="D85" s="47" t="str">
        <x:v>오픈열람실2 AP</x:v>
      </x:c>
      <x:c r="E85" s="47" t="str">
        <x:v>고정</x:v>
      </x:c>
      <x:c r="F85" s="48" t="n">
        <x:v>60</x:v>
      </x:c>
      <x:c r="G85" s="48" t="n">
        <x:v>1</x:v>
      </x:c>
      <x:c r="H85" s="48" t="n">
        <x:v>27</x:v>
      </x:c>
      <x:c r="I85" s="49" t="n">
        <x:v>-51</x:v>
      </x:c>
      <x:c r="J85" s="49" t="n">
        <x:v>1201</x:v>
      </x:c>
      <x:c r="K85" s="49" t="n">
        <x:v>20</x:v>
      </x:c>
      <x:c r="L85" s="49" t="n">
        <x:v>4</x:v>
      </x:c>
      <x:c r="M85" s="49" t="n">
        <x:v>0</x:v>
      </x:c>
      <x:c r="N85" s="49" t="n">
        <x:v>140.2359</x:v>
      </x:c>
      <x:c r="O85" s="49" t="n">
        <x:v>74.7729</x:v>
      </x:c>
      <x:c r="P85" s="49" t="n">
        <x:f>IF(OR(N85="",O85=""),"",2*N85*O85/(N85+O85))</x:f>
        <x:v>97.53875122422896</x:v>
      </x:c>
      <x:c r="Q85" s="58" t="str">
        <x:v>오열에서_오열2_1시간 측정_1.png; 오열에서_오열2_1시간 측정_2.png</x:v>
      </x:c>
      <x:c r="R85" s="58" t="str">
        <x:v>기존 Excel 대응</x:v>
      </x:c>
      <x:c r="S85" s="59" t="str"/>
    </x:row>
    <x:row r="86" ht="15" hidden="0" customHeight="1">
      <x:c r="A86" s="46" t="str">
        <x:v>OPEN2_1H_R1</x:v>
      </x:c>
      <x:c r="B86" s="47" t="str">
        <x:v>일반</x:v>
      </x:c>
      <x:c r="C86" s="47" t="str">
        <x:v>오픈열람실2</x:v>
      </x:c>
      <x:c r="D86" s="47" t="str">
        <x:v>오픈열람실2 AP</x:v>
      </x:c>
      <x:c r="E86" s="47" t="str">
        <x:v>고정</x:v>
      </x:c>
      <x:c r="F86" s="48" t="n">
        <x:v>60</x:v>
      </x:c>
      <x:c r="G86" s="48" t="n">
        <x:v>1</x:v>
      </x:c>
      <x:c r="H86" s="48" t="n">
        <x:v>28</x:v>
      </x:c>
      <x:c r="I86" s="49" t="n">
        <x:v>-56</x:v>
      </x:c>
      <x:c r="J86" s="49" t="n">
        <x:v>1201</x:v>
      </x:c>
      <x:c r="K86" s="49" t="n">
        <x:v>39</x:v>
      </x:c>
      <x:c r="L86" s="49" t="n">
        <x:v>4</x:v>
      </x:c>
      <x:c r="M86" s="49" t="n">
        <x:v>0</x:v>
      </x:c>
      <x:c r="N86" s="49" t="n">
        <x:v>68.6816</x:v>
      </x:c>
      <x:c r="O86" s="49" t="n">
        <x:v>130.8442</x:v>
      </x:c>
      <x:c r="P86" s="49" t="n">
        <x:f>IF(OR(N86="",O86=""),"",2*N86*O86/(N86+O86))</x:f>
        <x:v>90.07946848698263</x:v>
      </x:c>
      <x:c r="Q86" s="58" t="str">
        <x:v>오열에서_오열2_1시간 측정_1.png; 오열에서_오열2_1시간 측정_2.png</x:v>
      </x:c>
      <x:c r="R86" s="58" t="str">
        <x:v>기존 Excel 대응</x:v>
      </x:c>
      <x:c r="S86" s="59" t="str"/>
    </x:row>
    <x:row r="87" ht="15" hidden="0" customHeight="1">
      <x:c r="A87" s="46" t="str">
        <x:v>OPEN2_1H_R1</x:v>
      </x:c>
      <x:c r="B87" s="47" t="str">
        <x:v>일반</x:v>
      </x:c>
      <x:c r="C87" s="47" t="str">
        <x:v>오픈열람실2</x:v>
      </x:c>
      <x:c r="D87" s="47" t="str">
        <x:v>오픈열람실2 AP</x:v>
      </x:c>
      <x:c r="E87" s="47" t="str">
        <x:v>고정</x:v>
      </x:c>
      <x:c r="F87" s="48" t="n">
        <x:v>60</x:v>
      </x:c>
      <x:c r="G87" s="48" t="n">
        <x:v>1</x:v>
      </x:c>
      <x:c r="H87" s="48" t="n">
        <x:v>29</x:v>
      </x:c>
      <x:c r="I87" s="49" t="n">
        <x:v>-54</x:v>
      </x:c>
      <x:c r="J87" s="49" t="n">
        <x:v>1201</x:v>
      </x:c>
      <x:c r="K87" s="49" t="n">
        <x:v>37</x:v>
      </x:c>
      <x:c r="L87" s="49" t="n">
        <x:v>11</x:v>
      </x:c>
      <x:c r="M87" s="49" t="n">
        <x:v>0</x:v>
      </x:c>
      <x:c r="N87" s="49" t="n">
        <x:v>96.8071</x:v>
      </x:c>
      <x:c r="O87" s="49" t="n">
        <x:v>112.8729</x:v>
      </x:c>
      <x:c r="P87" s="49" t="n">
        <x:f>IF(OR(N87="",O87=""),"",2*N87*O87/(N87+O87))</x:f>
        <x:v>104.22451466606257</x:v>
      </x:c>
      <x:c r="Q87" s="58" t="str">
        <x:v>오열에서_오열2_1시간 측정_1.png; 오열에서_오열2_1시간 측정_2.png</x:v>
      </x:c>
      <x:c r="R87" s="58" t="str">
        <x:v>기존 Excel 대응</x:v>
      </x:c>
      <x:c r="S87" s="59" t="str"/>
    </x:row>
    <x:row r="88" ht="15" hidden="0" customHeight="1">
      <x:c r="A88" s="46" t="str">
        <x:v>OPEN2_1H_R1</x:v>
      </x:c>
      <x:c r="B88" s="47" t="str">
        <x:v>일반</x:v>
      </x:c>
      <x:c r="C88" s="47" t="str">
        <x:v>오픈열람실2</x:v>
      </x:c>
      <x:c r="D88" s="47" t="str">
        <x:v>오픈열람실2 AP</x:v>
      </x:c>
      <x:c r="E88" s="47" t="str">
        <x:v>고정</x:v>
      </x:c>
      <x:c r="F88" s="48" t="n">
        <x:v>60</x:v>
      </x:c>
      <x:c r="G88" s="48" t="n">
        <x:v>1</x:v>
      </x:c>
      <x:c r="H88" s="48" t="n">
        <x:v>30</x:v>
      </x:c>
      <x:c r="I88" s="49" t="n">
        <x:v>-53</x:v>
      </x:c>
      <x:c r="J88" s="49" t="n">
        <x:v>1201</x:v>
      </x:c>
      <x:c r="K88" s="49" t="n">
        <x:v>26</x:v>
      </x:c>
      <x:c r="L88" s="49" t="n">
        <x:v>5</x:v>
      </x:c>
      <x:c r="M88" s="49" t="n">
        <x:v>3.3333</x:v>
      </x:c>
      <x:c r="N88" s="49" t="n">
        <x:v>149.6086</x:v>
      </x:c>
      <x:c r="O88" s="49" t="n">
        <x:v>102.8044</x:v>
      </x:c>
      <x:c r="P88" s="49" t="n">
        <x:f>IF(OR(N88="",O88=""),"",2*N88*O88/(N88+O88))</x:f>
        <x:v>121.8671174451395</x:v>
      </x:c>
      <x:c r="Q88" s="58" t="str">
        <x:v>오열에서_오열2_1시간 측정_1.png; 오열에서_오열2_1시간 측정_2.png</x:v>
      </x:c>
      <x:c r="R88" s="58" t="str">
        <x:v>기존 Excel 대응</x:v>
      </x:c>
      <x:c r="S88" s="59" t="str"/>
    </x:row>
    <x:row r="89" ht="15" hidden="0" customHeight="1">
      <x:c r="A89" s="46" t="str">
        <x:v>OPEN2_1H_R1</x:v>
      </x:c>
      <x:c r="B89" s="47" t="str">
        <x:v>일반</x:v>
      </x:c>
      <x:c r="C89" s="47" t="str">
        <x:v>오픈열람실2</x:v>
      </x:c>
      <x:c r="D89" s="47" t="str">
        <x:v>오픈열람실2 AP</x:v>
      </x:c>
      <x:c r="E89" s="47" t="str">
        <x:v>고정</x:v>
      </x:c>
      <x:c r="F89" s="48" t="n">
        <x:v>60</x:v>
      </x:c>
      <x:c r="G89" s="48" t="n">
        <x:v>1</x:v>
      </x:c>
      <x:c r="H89" s="48" t="n">
        <x:v>31</x:v>
      </x:c>
      <x:c r="I89" s="49" t="n">
        <x:v>-54</x:v>
      </x:c>
      <x:c r="J89" s="49" t="n">
        <x:v>1201</x:v>
      </x:c>
      <x:c r="K89" s="49" t="n">
        <x:v>25</x:v>
      </x:c>
      <x:c r="L89" s="49" t="n">
        <x:v>9</x:v>
      </x:c>
      <x:c r="M89" s="49" t="n">
        <x:v>0</x:v>
      </x:c>
      <x:c r="N89" s="49" t="n">
        <x:v>35.7689</x:v>
      </x:c>
      <x:c r="O89" s="49" t="n">
        <x:v>70.347</x:v>
      </x:c>
      <x:c r="P89" s="49" t="n">
        <x:f>IF(OR(N89="",O89=""),"",2*N89*O89/(N89+O89))</x:f>
        <x:v>47.424274935235914</x:v>
      </x:c>
      <x:c r="Q89" s="58" t="str">
        <x:v>오열에서_오열2_1시간 측정_1.png; 오열에서_오열2_1시간 측정_2.png</x:v>
      </x:c>
      <x:c r="R89" s="58" t="str">
        <x:v>기존 Excel 대응</x:v>
      </x:c>
      <x:c r="S89" s="59" t="str"/>
    </x:row>
    <x:row r="90" ht="15" hidden="0" customHeight="1">
      <x:c r="A90" s="46" t="str">
        <x:v>OPEN2_1H_R1</x:v>
      </x:c>
      <x:c r="B90" s="47" t="str">
        <x:v>일반</x:v>
      </x:c>
      <x:c r="C90" s="47" t="str">
        <x:v>오픈열람실2</x:v>
      </x:c>
      <x:c r="D90" s="47" t="str">
        <x:v>오픈열람실2 AP</x:v>
      </x:c>
      <x:c r="E90" s="47" t="str">
        <x:v>고정</x:v>
      </x:c>
      <x:c r="F90" s="48" t="n">
        <x:v>60</x:v>
      </x:c>
      <x:c r="G90" s="48" t="n">
        <x:v>1</x:v>
      </x:c>
      <x:c r="H90" s="48" t="n">
        <x:v>32</x:v>
      </x:c>
      <x:c r="I90" s="49" t="n">
        <x:v>-52</x:v>
      </x:c>
      <x:c r="J90" s="49" t="n">
        <x:v>1201</x:v>
      </x:c>
      <x:c r="K90" s="49" t="n">
        <x:v>38</x:v>
      </x:c>
      <x:c r="L90" s="49" t="n">
        <x:v>6</x:v>
      </x:c>
      <x:c r="M90" s="49" t="n">
        <x:v>0</x:v>
      </x:c>
      <x:c r="N90" s="49" t="n">
        <x:v>61.9018</x:v>
      </x:c>
      <x:c r="O90" s="49" t="n">
        <x:v>89.5753</x:v>
      </x:c>
      <x:c r="P90" s="49" t="n">
        <x:f>IF(OR(N90="",O90=""),"",2*N90*O90/(N90+O90))</x:f>
        <x:v>73.21070056846875</x:v>
      </x:c>
      <x:c r="Q90" s="58" t="str">
        <x:v>오열에서_오열2_1시간 측정_1.png; 오열에서_오열2_1시간 측정_2.png</x:v>
      </x:c>
      <x:c r="R90" s="58" t="str">
        <x:v>기존 Excel 대응</x:v>
      </x:c>
      <x:c r="S90" s="59" t="str"/>
    </x:row>
    <x:row r="91" ht="15" hidden="0" customHeight="1">
      <x:c r="A91" s="46" t="str">
        <x:v>OPEN2_1H_R1</x:v>
      </x:c>
      <x:c r="B91" s="47" t="str">
        <x:v>일반</x:v>
      </x:c>
      <x:c r="C91" s="47" t="str">
        <x:v>오픈열람실2</x:v>
      </x:c>
      <x:c r="D91" s="47" t="str">
        <x:v>오픈열람실2 AP</x:v>
      </x:c>
      <x:c r="E91" s="47" t="str">
        <x:v>고정</x:v>
      </x:c>
      <x:c r="F91" s="48" t="n">
        <x:v>60</x:v>
      </x:c>
      <x:c r="G91" s="48" t="n">
        <x:v>1</x:v>
      </x:c>
      <x:c r="H91" s="48" t="n">
        <x:v>33</x:v>
      </x:c>
      <x:c r="I91" s="49" t="n">
        <x:v>-56</x:v>
      </x:c>
      <x:c r="J91" s="49" t="n">
        <x:v>1201</x:v>
      </x:c>
      <x:c r="K91" s="49" t="n">
        <x:v>25</x:v>
      </x:c>
      <x:c r="L91" s="49" t="n">
        <x:v>9</x:v>
      </x:c>
      <x:c r="M91" s="49" t="n">
        <x:v>0</x:v>
      </x:c>
      <x:c r="N91" s="49" t="n">
        <x:v>30.6278</x:v>
      </x:c>
      <x:c r="O91" s="49" t="n">
        <x:v>64.5924</x:v>
      </x:c>
      <x:c r="P91" s="49" t="n">
        <x:f>IF(OR(N91="",O91=""),"",2*N91*O91/(N91+O91))</x:f>
        <x:v>41.55259301534758</x:v>
      </x:c>
      <x:c r="Q91" s="58" t="str">
        <x:v>오열에서_오열2_1시간 측정_1.png; 오열에서_오열2_1시간 측정_2.png</x:v>
      </x:c>
      <x:c r="R91" s="58" t="str">
        <x:v>기존 Excel 대응</x:v>
      </x:c>
      <x:c r="S91" s="59" t="str"/>
    </x:row>
    <x:row r="92" ht="15" hidden="0" customHeight="1">
      <x:c r="A92" s="46" t="str">
        <x:v>OPEN2_1H_R1</x:v>
      </x:c>
      <x:c r="B92" s="47" t="str">
        <x:v>일반</x:v>
      </x:c>
      <x:c r="C92" s="47" t="str">
        <x:v>오픈열람실2</x:v>
      </x:c>
      <x:c r="D92" s="47" t="str">
        <x:v>오픈열람실2 AP</x:v>
      </x:c>
      <x:c r="E92" s="47" t="str">
        <x:v>고정</x:v>
      </x:c>
      <x:c r="F92" s="48" t="n">
        <x:v>60</x:v>
      </x:c>
      <x:c r="G92" s="48" t="n">
        <x:v>1</x:v>
      </x:c>
      <x:c r="H92" s="48" t="n">
        <x:v>34</x:v>
      </x:c>
      <x:c r="I92" s="49" t="n">
        <x:v>-56</x:v>
      </x:c>
      <x:c r="J92" s="49" t="n">
        <x:v>1201</x:v>
      </x:c>
      <x:c r="K92" s="49" t="n">
        <x:v>29</x:v>
      </x:c>
      <x:c r="L92" s="49" t="n">
        <x:v>9</x:v>
      </x:c>
      <x:c r="M92" s="49" t="n">
        <x:v>0</x:v>
      </x:c>
      <x:c r="N92" s="49" t="n">
        <x:v>65.887</x:v>
      </x:c>
      <x:c r="O92" s="49" t="n">
        <x:v>83.5266</x:v>
      </x:c>
      <x:c r="P92" s="49" t="n">
        <x:f>IF(OR(N92="",O92=""),"",2*N92*O92/(N92+O92))</x:f>
        <x:v>73.66554442433622</x:v>
      </x:c>
      <x:c r="Q92" s="58" t="str">
        <x:v>오열에서_오열2_1시간 측정_1.png; 오열에서_오열2_1시간 측정_2.png</x:v>
      </x:c>
      <x:c r="R92" s="58" t="str">
        <x:v>기존 Excel 대응</x:v>
      </x:c>
      <x:c r="S92" s="59" t="str"/>
    </x:row>
    <x:row r="93" ht="15" hidden="0" customHeight="1">
      <x:c r="A93" s="46" t="str">
        <x:v>OPEN2_1H_R1</x:v>
      </x:c>
      <x:c r="B93" s="47" t="str">
        <x:v>일반</x:v>
      </x:c>
      <x:c r="C93" s="47" t="str">
        <x:v>오픈열람실2</x:v>
      </x:c>
      <x:c r="D93" s="47" t="str">
        <x:v>오픈열람실2 AP</x:v>
      </x:c>
      <x:c r="E93" s="47" t="str">
        <x:v>고정</x:v>
      </x:c>
      <x:c r="F93" s="48" t="n">
        <x:v>60</x:v>
      </x:c>
      <x:c r="G93" s="48" t="n">
        <x:v>1</x:v>
      </x:c>
      <x:c r="H93" s="48" t="n">
        <x:v>35</x:v>
      </x:c>
      <x:c r="I93" s="49" t="n">
        <x:v>-51</x:v>
      </x:c>
      <x:c r="J93" s="49" t="n">
        <x:v>1201</x:v>
      </x:c>
      <x:c r="K93" s="49" t="n">
        <x:v>50</x:v>
      </x:c>
      <x:c r="L93" s="49" t="n">
        <x:v>5</x:v>
      </x:c>
      <x:c r="M93" s="49" t="n">
        <x:v>0</x:v>
      </x:c>
      <x:c r="N93" s="49" t="n">
        <x:v>95.0168</x:v>
      </x:c>
      <x:c r="O93" s="49" t="n">
        <x:v>78.0511</x:v>
      </x:c>
      <x:c r="P93" s="49" t="n">
        <x:f>IF(OR(N93="",O93=""),"",2*N93*O93/(N93+O93))</x:f>
        <x:v>85.70238338224478</x:v>
      </x:c>
      <x:c r="Q93" s="58" t="str">
        <x:v>오열에서_오열2_1시간 측정_1.png; 오열에서_오열2_1시간 측정_2.png</x:v>
      </x:c>
      <x:c r="R93" s="58" t="str">
        <x:v>기존 Excel 대응</x:v>
      </x:c>
      <x:c r="S93" s="59" t="str"/>
    </x:row>
    <x:row r="94" ht="15" hidden="0" customHeight="1">
      <x:c r="A94" s="46" t="str">
        <x:v>OPEN2_1H_R1</x:v>
      </x:c>
      <x:c r="B94" s="47" t="str">
        <x:v>일반</x:v>
      </x:c>
      <x:c r="C94" s="47" t="str">
        <x:v>오픈열람실2</x:v>
      </x:c>
      <x:c r="D94" s="47" t="str">
        <x:v>오픈열람실2 AP</x:v>
      </x:c>
      <x:c r="E94" s="47" t="str">
        <x:v>고정</x:v>
      </x:c>
      <x:c r="F94" s="48" t="n">
        <x:v>60</x:v>
      </x:c>
      <x:c r="G94" s="48" t="n">
        <x:v>1</x:v>
      </x:c>
      <x:c r="H94" s="48" t="n">
        <x:v>36</x:v>
      </x:c>
      <x:c r="I94" s="49" t="n">
        <x:v>-52</x:v>
      </x:c>
      <x:c r="J94" s="49" t="n">
        <x:v>1201</x:v>
      </x:c>
      <x:c r="K94" s="49" t="n">
        <x:v>53</x:v>
      </x:c>
      <x:c r="L94" s="49" t="n">
        <x:v>8</x:v>
      </x:c>
      <x:c r="M94" s="49" t="n">
        <x:v>0</x:v>
      </x:c>
      <x:c r="N94" s="49" t="n">
        <x:v>79.2869</x:v>
      </x:c>
      <x:c r="O94" s="49" t="n">
        <x:v>123.0053</x:v>
      </x:c>
      <x:c r="P94" s="49" t="n">
        <x:f>IF(OR(N94="",O94=""),"",2*N94*O94/(N94+O94))</x:f>
        <x:v>96.42199670150407</x:v>
      </x:c>
      <x:c r="Q94" s="58" t="str">
        <x:v>오열에서_오열2_1시간 측정_1.png; 오열에서_오열2_1시간 측정_2.png</x:v>
      </x:c>
      <x:c r="R94" s="58" t="str">
        <x:v>기존 Excel 대응</x:v>
      </x:c>
      <x:c r="S94" s="59" t="str"/>
    </x:row>
    <x:row r="95" ht="15" hidden="0" customHeight="1">
      <x:c r="A95" s="46" t="str">
        <x:v>OPEN2_1H_R1</x:v>
      </x:c>
      <x:c r="B95" s="47" t="str">
        <x:v>일반</x:v>
      </x:c>
      <x:c r="C95" s="47" t="str">
        <x:v>오픈열람실2</x:v>
      </x:c>
      <x:c r="D95" s="47" t="str">
        <x:v>오픈열람실2 AP</x:v>
      </x:c>
      <x:c r="E95" s="47" t="str">
        <x:v>고정</x:v>
      </x:c>
      <x:c r="F95" s="48" t="n">
        <x:v>60</x:v>
      </x:c>
      <x:c r="G95" s="48" t="n">
        <x:v>1</x:v>
      </x:c>
      <x:c r="H95" s="48" t="n">
        <x:v>37</x:v>
      </x:c>
      <x:c r="I95" s="49" t="n">
        <x:v>-52</x:v>
      </x:c>
      <x:c r="J95" s="49" t="n">
        <x:v>1201</x:v>
      </x:c>
      <x:c r="K95" s="49" t="n">
        <x:v>43</x:v>
      </x:c>
      <x:c r="L95" s="49" t="n">
        <x:v>7</x:v>
      </x:c>
      <x:c r="M95" s="49" t="n">
        <x:v>0</x:v>
      </x:c>
      <x:c r="N95" s="49" t="n">
        <x:v>120.475</x:v>
      </x:c>
      <x:c r="O95" s="49" t="n">
        <x:v>116.4957</x:v>
      </x:c>
      <x:c r="P95" s="49" t="n">
        <x:f>IF(OR(N95="",O95=""),"",2*N95*O95/(N95+O95))</x:f>
        <x:v>118.45193905828864</x:v>
      </x:c>
      <x:c r="Q95" s="58" t="str">
        <x:v>오열에서_오열2_1시간 측정_1.png; 오열에서_오열2_1시간 측정_2.png</x:v>
      </x:c>
      <x:c r="R95" s="58" t="str">
        <x:v>기존 Excel 대응</x:v>
      </x:c>
      <x:c r="S95" s="59" t="str"/>
    </x:row>
    <x:row r="96" ht="15" hidden="0" customHeight="1">
      <x:c r="A96" s="46" t="str">
        <x:v>OPEN2_1H_R1</x:v>
      </x:c>
      <x:c r="B96" s="47" t="str">
        <x:v>일반</x:v>
      </x:c>
      <x:c r="C96" s="47" t="str">
        <x:v>오픈열람실2</x:v>
      </x:c>
      <x:c r="D96" s="47" t="str">
        <x:v>오픈열람실2 AP</x:v>
      </x:c>
      <x:c r="E96" s="47" t="str">
        <x:v>고정</x:v>
      </x:c>
      <x:c r="F96" s="48" t="n">
        <x:v>60</x:v>
      </x:c>
      <x:c r="G96" s="48" t="n">
        <x:v>1</x:v>
      </x:c>
      <x:c r="H96" s="48" t="n">
        <x:v>38</x:v>
      </x:c>
      <x:c r="I96" s="49" t="n">
        <x:v>-55</x:v>
      </x:c>
      <x:c r="J96" s="49" t="n">
        <x:v>1201</x:v>
      </x:c>
      <x:c r="K96" s="49" t="n">
        <x:v>43</x:v>
      </x:c>
      <x:c r="L96" s="49" t="n">
        <x:v>10</x:v>
      </x:c>
      <x:c r="M96" s="49" t="n">
        <x:v>0</x:v>
      </x:c>
      <x:c r="N96" s="49" t="n">
        <x:v>14.4332</x:v>
      </x:c>
      <x:c r="O96" s="49" t="n">
        <x:v>24.6571</x:v>
      </x:c>
      <x:c r="P96" s="49" t="n">
        <x:f>IF(OR(N96="",O96=""),"",2*N96*O96/(N96+O96))</x:f>
        <x:v>18.208141442762017</x:v>
      </x:c>
      <x:c r="Q96" s="58" t="str">
        <x:v>오열에서_오열2_1시간 측정_1.png; 오열에서_오열2_1시간 측정_2.png</x:v>
      </x:c>
      <x:c r="R96" s="58" t="str">
        <x:v>기존 Excel 대응</x:v>
      </x:c>
      <x:c r="S96" s="59" t="str"/>
    </x:row>
    <x:row r="97" ht="15" hidden="0" customHeight="1">
      <x:c r="A97" s="46" t="str">
        <x:v>OPEN2_1H_R1</x:v>
      </x:c>
      <x:c r="B97" s="47" t="str">
        <x:v>일반</x:v>
      </x:c>
      <x:c r="C97" s="47" t="str">
        <x:v>오픈열람실2</x:v>
      </x:c>
      <x:c r="D97" s="47" t="str">
        <x:v>오픈열람실2 AP</x:v>
      </x:c>
      <x:c r="E97" s="47" t="str">
        <x:v>고정</x:v>
      </x:c>
      <x:c r="F97" s="48" t="n">
        <x:v>60</x:v>
      </x:c>
      <x:c r="G97" s="48" t="n">
        <x:v>1</x:v>
      </x:c>
      <x:c r="H97" s="48" t="n">
        <x:v>39</x:v>
      </x:c>
      <x:c r="I97" s="49" t="n">
        <x:v>-55</x:v>
      </x:c>
      <x:c r="J97" s="49" t="n">
        <x:v>1201</x:v>
      </x:c>
      <x:c r="K97" s="49" t="n">
        <x:v>38</x:v>
      </x:c>
      <x:c r="L97" s="49" t="n">
        <x:v>5</x:v>
      </x:c>
      <x:c r="M97" s="49" t="n">
        <x:v>0</x:v>
      </x:c>
      <x:c r="N97" s="49" t="n">
        <x:v>94.8002</x:v>
      </x:c>
      <x:c r="O97" s="49" t="n">
        <x:v>105.9829</x:v>
      </x:c>
      <x:c r="P97" s="49" t="n">
        <x:f>IF(OR(N97="",O97=""),"",2*N97*O97/(N97+O97))</x:f>
        <x:v>100.08013738785786</x:v>
      </x:c>
      <x:c r="Q97" s="58" t="str">
        <x:v>오열에서_오열2_1시간 측정_1.png; 오열에서_오열2_1시간 측정_2.png</x:v>
      </x:c>
      <x:c r="R97" s="58" t="str">
        <x:v>기존 Excel 대응</x:v>
      </x:c>
      <x:c r="S97" s="59" t="str"/>
    </x:row>
    <x:row r="98" ht="15" hidden="0" customHeight="1">
      <x:c r="A98" s="46" t="str">
        <x:v>OPEN2_1H_R1</x:v>
      </x:c>
      <x:c r="B98" s="47" t="str">
        <x:v>일반</x:v>
      </x:c>
      <x:c r="C98" s="47" t="str">
        <x:v>오픈열람실2</x:v>
      </x:c>
      <x:c r="D98" s="47" t="str">
        <x:v>오픈열람실2 AP</x:v>
      </x:c>
      <x:c r="E98" s="47" t="str">
        <x:v>고정</x:v>
      </x:c>
      <x:c r="F98" s="48" t="n">
        <x:v>60</x:v>
      </x:c>
      <x:c r="G98" s="48" t="n">
        <x:v>1</x:v>
      </x:c>
      <x:c r="H98" s="48" t="n">
        <x:v>40</x:v>
      </x:c>
      <x:c r="I98" s="49" t="n">
        <x:v>-53</x:v>
      </x:c>
      <x:c r="J98" s="49" t="n">
        <x:v>1201</x:v>
      </x:c>
      <x:c r="K98" s="49" t="n">
        <x:v>24</x:v>
      </x:c>
      <x:c r="L98" s="49" t="n">
        <x:v>9</x:v>
      </x:c>
      <x:c r="M98" s="49" t="n">
        <x:v>0</x:v>
      </x:c>
      <x:c r="N98" s="49" t="n">
        <x:v>116.1233</x:v>
      </x:c>
      <x:c r="O98" s="49" t="n">
        <x:v>94.4994</x:v>
      </x:c>
      <x:c r="P98" s="49" t="n">
        <x:f>IF(OR(N98="",O98=""),"",2*N98*O98/(N98+O98))</x:f>
        <x:v>104.2013247007089</x:v>
      </x:c>
      <x:c r="Q98" s="58" t="str">
        <x:v>오열에서_오열2_1시간 측정_1.png; 오열에서_오열2_1시간 측정_2.png</x:v>
      </x:c>
      <x:c r="R98" s="58" t="str">
        <x:v>기존 Excel 대응</x:v>
      </x:c>
      <x:c r="S98" s="59" t="str"/>
    </x:row>
    <x:row r="99" ht="15" hidden="0" customHeight="1">
      <x:c r="A99" s="46" t="str">
        <x:v>OPEN2_1H_R1</x:v>
      </x:c>
      <x:c r="B99" s="47" t="str">
        <x:v>일반</x:v>
      </x:c>
      <x:c r="C99" s="47" t="str">
        <x:v>오픈열람실2</x:v>
      </x:c>
      <x:c r="D99" s="47" t="str">
        <x:v>오픈열람실2 AP</x:v>
      </x:c>
      <x:c r="E99" s="47" t="str">
        <x:v>고정</x:v>
      </x:c>
      <x:c r="F99" s="48" t="n">
        <x:v>60</x:v>
      </x:c>
      <x:c r="G99" s="48" t="n">
        <x:v>1</x:v>
      </x:c>
      <x:c r="H99" s="48" t="n">
        <x:v>41</x:v>
      </x:c>
      <x:c r="I99" s="49" t="n">
        <x:v>-51</x:v>
      </x:c>
      <x:c r="J99" s="49" t="n">
        <x:v>1201</x:v>
      </x:c>
      <x:c r="K99" s="49" t="n">
        <x:v>33</x:v>
      </x:c>
      <x:c r="L99" s="49" t="n">
        <x:v>7</x:v>
      </x:c>
      <x:c r="M99" s="49" t="n">
        <x:v>0</x:v>
      </x:c>
      <x:c r="N99" s="49" t="n">
        <x:v>131.4265</x:v>
      </x:c>
      <x:c r="O99" s="49" t="n">
        <x:v>112.7786</x:v>
      </x:c>
      <x:c r="P99" s="49" t="n">
        <x:f>IF(OR(N99="",O99=""),"",2*N99*O99/(N99+O99))</x:f>
        <x:v>121.39055796050123</x:v>
      </x:c>
      <x:c r="Q99" s="58" t="str">
        <x:v>오열에서_오열2_1시간 측정_1.png; 오열에서_오열2_1시간 측정_2.png</x:v>
      </x:c>
      <x:c r="R99" s="58" t="str">
        <x:v>기존 Excel 대응</x:v>
      </x:c>
      <x:c r="S99" s="59" t="str"/>
    </x:row>
    <x:row r="100" ht="15" hidden="0" customHeight="1">
      <x:c r="A100" s="46" t="str">
        <x:v>OPEN2_1H_R1</x:v>
      </x:c>
      <x:c r="B100" s="47" t="str">
        <x:v>일반</x:v>
      </x:c>
      <x:c r="C100" s="47" t="str">
        <x:v>오픈열람실2</x:v>
      </x:c>
      <x:c r="D100" s="47" t="str">
        <x:v>오픈열람실2 AP</x:v>
      </x:c>
      <x:c r="E100" s="47" t="str">
        <x:v>고정</x:v>
      </x:c>
      <x:c r="F100" s="48" t="n">
        <x:v>60</x:v>
      </x:c>
      <x:c r="G100" s="48" t="n">
        <x:v>1</x:v>
      </x:c>
      <x:c r="H100" s="48" t="n">
        <x:v>42</x:v>
      </x:c>
      <x:c r="I100" s="49" t="n">
        <x:v>-52</x:v>
      </x:c>
      <x:c r="J100" s="49" t="n">
        <x:v>1201</x:v>
      </x:c>
      <x:c r="K100" s="49" t="n">
        <x:v>27</x:v>
      </x:c>
      <x:c r="L100" s="49" t="n">
        <x:v>8</x:v>
      </x:c>
      <x:c r="M100" s="49" t="n">
        <x:v>0</x:v>
      </x:c>
      <x:c r="N100" s="49" t="n">
        <x:v>158.422</x:v>
      </x:c>
      <x:c r="O100" s="49" t="n">
        <x:v>114.5468</x:v>
      </x:c>
      <x:c r="P100" s="49" t="n">
        <x:f>IF(OR(N100="",O100=""),"",2*N100*O100/(N100+O100))</x:f>
        <x:v>132.95829523081028</x:v>
      </x:c>
      <x:c r="Q100" s="58" t="str">
        <x:v>오열에서_오열2_1시간 측정_1.png; 오열에서_오열2_1시간 측정_2.png</x:v>
      </x:c>
      <x:c r="R100" s="58" t="str">
        <x:v>기존 Excel 대응</x:v>
      </x:c>
      <x:c r="S100" s="59" t="str"/>
    </x:row>
    <x:row r="101" ht="15" hidden="0" customHeight="1">
      <x:c r="A101" s="46" t="str">
        <x:v>OPEN2_1H_R1</x:v>
      </x:c>
      <x:c r="B101" s="47" t="str">
        <x:v>일반</x:v>
      </x:c>
      <x:c r="C101" s="47" t="str">
        <x:v>오픈열람실2</x:v>
      </x:c>
      <x:c r="D101" s="47" t="str">
        <x:v>오픈열람실2 AP</x:v>
      </x:c>
      <x:c r="E101" s="47" t="str">
        <x:v>고정</x:v>
      </x:c>
      <x:c r="F101" s="48" t="n">
        <x:v>60</x:v>
      </x:c>
      <x:c r="G101" s="48" t="n">
        <x:v>1</x:v>
      </x:c>
      <x:c r="H101" s="48" t="n">
        <x:v>43</x:v>
      </x:c>
      <x:c r="I101" s="49" t="n">
        <x:v>-51</x:v>
      </x:c>
      <x:c r="J101" s="49" t="n">
        <x:v>1201</x:v>
      </x:c>
      <x:c r="K101" s="49" t="n">
        <x:v>28</x:v>
      </x:c>
      <x:c r="L101" s="49" t="n">
        <x:v>4</x:v>
      </x:c>
      <x:c r="M101" s="49" t="n">
        <x:v>0</x:v>
      </x:c>
      <x:c r="N101" s="49" t="n">
        <x:v>45.8783</x:v>
      </x:c>
      <x:c r="O101" s="49" t="n">
        <x:v>119.0284</x:v>
      </x:c>
      <x:c r="P101" s="49" t="n">
        <x:f>IF(OR(N101="",O101=""),"",2*N101*O101/(N101+O101))</x:f>
        <x:v>66.22921498908171</x:v>
      </x:c>
      <x:c r="Q101" s="58" t="str">
        <x:v>오열에서_오열2_1시간 측정_1.png; 오열에서_오열2_1시간 측정_2.png</x:v>
      </x:c>
      <x:c r="R101" s="58" t="str">
        <x:v>기존 Excel 대응</x:v>
      </x:c>
      <x:c r="S101" s="59" t="str"/>
    </x:row>
    <x:row r="102" ht="15" hidden="0" customHeight="1">
      <x:c r="A102" s="46" t="str">
        <x:v>OPEN2_1H_R1</x:v>
      </x:c>
      <x:c r="B102" s="47" t="str">
        <x:v>일반</x:v>
      </x:c>
      <x:c r="C102" s="47" t="str">
        <x:v>오픈열람실2</x:v>
      </x:c>
      <x:c r="D102" s="47" t="str">
        <x:v>오픈열람실2 AP</x:v>
      </x:c>
      <x:c r="E102" s="47" t="str">
        <x:v>고정</x:v>
      </x:c>
      <x:c r="F102" s="48" t="n">
        <x:v>60</x:v>
      </x:c>
      <x:c r="G102" s="48" t="n">
        <x:v>1</x:v>
      </x:c>
      <x:c r="H102" s="48" t="n">
        <x:v>44</x:v>
      </x:c>
      <x:c r="I102" s="49" t="n">
        <x:v>-55</x:v>
      </x:c>
      <x:c r="J102" s="49" t="n">
        <x:v>1201</x:v>
      </x:c>
      <x:c r="K102" s="49" t="n">
        <x:v>27</x:v>
      </x:c>
      <x:c r="L102" s="49" t="n">
        <x:v>12</x:v>
      </x:c>
      <x:c r="M102" s="49" t="n">
        <x:v>0</x:v>
      </x:c>
      <x:c r="N102" s="49" t="n">
        <x:v>83.5897</x:v>
      </x:c>
      <x:c r="O102" s="49" t="n">
        <x:v>77.1191</x:v>
      </x:c>
      <x:c r="P102" s="49" t="n">
        <x:f>IF(OR(N102="",O102=""),"",2*N102*O102/(N102+O102))</x:f>
        <x:v>80.22413748680844</x:v>
      </x:c>
      <x:c r="Q102" s="58" t="str">
        <x:v>오열에서_오열2_1시간 측정_1.png; 오열에서_오열2_1시간 측정_2.png</x:v>
      </x:c>
      <x:c r="R102" s="58" t="str">
        <x:v>기존 Excel 대응</x:v>
      </x:c>
      <x:c r="S102" s="59" t="str"/>
    </x:row>
    <x:row r="103" ht="15" hidden="0" customHeight="1">
      <x:c r="A103" s="46" t="str">
        <x:v>OPEN2_1H_R1</x:v>
      </x:c>
      <x:c r="B103" s="47" t="str">
        <x:v>일반</x:v>
      </x:c>
      <x:c r="C103" s="47" t="str">
        <x:v>오픈열람실2</x:v>
      </x:c>
      <x:c r="D103" s="47" t="str">
        <x:v>오픈열람실2 AP</x:v>
      </x:c>
      <x:c r="E103" s="47" t="str">
        <x:v>고정</x:v>
      </x:c>
      <x:c r="F103" s="48" t="n">
        <x:v>60</x:v>
      </x:c>
      <x:c r="G103" s="48" t="n">
        <x:v>1</x:v>
      </x:c>
      <x:c r="H103" s="48" t="n">
        <x:v>45</x:v>
      </x:c>
      <x:c r="I103" s="49" t="n">
        <x:v>-54</x:v>
      </x:c>
      <x:c r="J103" s="49" t="n">
        <x:v>1201</x:v>
      </x:c>
      <x:c r="K103" s="49" t="n">
        <x:v>52</x:v>
      </x:c>
      <x:c r="L103" s="49" t="n">
        <x:v>7</x:v>
      </x:c>
      <x:c r="M103" s="49" t="n">
        <x:v>0</x:v>
      </x:c>
      <x:c r="N103" s="49"/>
      <x:c r="O103" s="49" t="n">
        <x:v>122.3232</x:v>
      </x:c>
      <x:c r="P103" s="49" t="str">
        <x:f>IF(OR(N103="",O103=""),"",2*N103*O103/(N103+O103))</x:f>
      </x:c>
      <x:c r="Q103" s="58" t="str">
        <x:v>오열에서_오열2_1시간 측정_1.png; 오열에서_오열2_1시간 측정_2.png</x:v>
      </x:c>
      <x:c r="R103" s="58" t="str">
        <x:v>기존 Excel 대응</x:v>
      </x:c>
      <x:c r="S103" s="59" t="str">
        <x:v>원본 이미지에서 NaN 확인</x:v>
      </x:c>
    </x:row>
    <x:row r="104" ht="15" hidden="0" customHeight="1">
      <x:c r="A104" s="46" t="str">
        <x:v>OPEN2_1H_R1</x:v>
      </x:c>
      <x:c r="B104" s="47" t="str">
        <x:v>일반</x:v>
      </x:c>
      <x:c r="C104" s="47" t="str">
        <x:v>오픈열람실2</x:v>
      </x:c>
      <x:c r="D104" s="47" t="str">
        <x:v>오픈열람실2 AP</x:v>
      </x:c>
      <x:c r="E104" s="47" t="str">
        <x:v>고정</x:v>
      </x:c>
      <x:c r="F104" s="48" t="n">
        <x:v>60</x:v>
      </x:c>
      <x:c r="G104" s="48" t="n">
        <x:v>1</x:v>
      </x:c>
      <x:c r="H104" s="48" t="n">
        <x:v>46</x:v>
      </x:c>
      <x:c r="I104" s="49" t="n">
        <x:v>-59</x:v>
      </x:c>
      <x:c r="J104" s="49" t="n">
        <x:v>1201</x:v>
      </x:c>
      <x:c r="K104" s="49" t="n">
        <x:v>28</x:v>
      </x:c>
      <x:c r="L104" s="49" t="n">
        <x:v>6</x:v>
      </x:c>
      <x:c r="M104" s="49" t="n">
        <x:v>0</x:v>
      </x:c>
      <x:c r="N104" s="49" t="n">
        <x:v>96.4676</x:v>
      </x:c>
      <x:c r="O104" s="49" t="n">
        <x:v>134.9196</x:v>
      </x:c>
      <x:c r="P104" s="49" t="n">
        <x:f>IF(OR(N104="",O104=""),"",2*N104*O104/(N104+O104))</x:f>
        <x:v>112.49861707959646</x:v>
      </x:c>
      <x:c r="Q104" s="58" t="str">
        <x:v>오열에서_오열2_1시간 측정_1.png; 오열에서_오열2_1시간 측정_2.png</x:v>
      </x:c>
      <x:c r="R104" s="58" t="str">
        <x:v>기존 Excel 대응</x:v>
      </x:c>
      <x:c r="S104" s="59" t="str"/>
    </x:row>
    <x:row r="105" ht="15" hidden="0" customHeight="1">
      <x:c r="A105" s="46" t="str">
        <x:v>OPEN2_1H_R1</x:v>
      </x:c>
      <x:c r="B105" s="47" t="str">
        <x:v>일반</x:v>
      </x:c>
      <x:c r="C105" s="47" t="str">
        <x:v>오픈열람실2</x:v>
      </x:c>
      <x:c r="D105" s="47" t="str">
        <x:v>오픈열람실2 AP</x:v>
      </x:c>
      <x:c r="E105" s="47" t="str">
        <x:v>고정</x:v>
      </x:c>
      <x:c r="F105" s="48" t="n">
        <x:v>60</x:v>
      </x:c>
      <x:c r="G105" s="48" t="n">
        <x:v>1</x:v>
      </x:c>
      <x:c r="H105" s="48" t="n">
        <x:v>47</x:v>
      </x:c>
      <x:c r="I105" s="49" t="n">
        <x:v>-55</x:v>
      </x:c>
      <x:c r="J105" s="49" t="n">
        <x:v>1201</x:v>
      </x:c>
      <x:c r="K105" s="49" t="n">
        <x:v>29</x:v>
      </x:c>
      <x:c r="L105" s="49" t="n">
        <x:v>9</x:v>
      </x:c>
      <x:c r="M105" s="49" t="n">
        <x:v>0</x:v>
      </x:c>
      <x:c r="N105" s="49" t="n">
        <x:v>104.7025</x:v>
      </x:c>
      <x:c r="O105" s="49" t="n">
        <x:v>133.6428</x:v>
      </x:c>
      <x:c r="P105" s="49" t="n">
        <x:f>IF(OR(N105="",O105=""),"",2*N105*O105/(N105+O105))</x:f>
        <x:v>117.41565927249246</x:v>
      </x:c>
      <x:c r="Q105" s="58" t="str">
        <x:v>오열에서_오열2_1시간 측정_1.png; 오열에서_오열2_1시간 측정_2.png</x:v>
      </x:c>
      <x:c r="R105" s="58" t="str">
        <x:v>기존 Excel 대응</x:v>
      </x:c>
      <x:c r="S105" s="59" t="str"/>
    </x:row>
    <x:row r="106" ht="15" hidden="0" customHeight="1">
      <x:c r="A106" s="46" t="str">
        <x:v>OPEN2_1H_R1</x:v>
      </x:c>
      <x:c r="B106" s="47" t="str">
        <x:v>일반</x:v>
      </x:c>
      <x:c r="C106" s="47" t="str">
        <x:v>오픈열람실2</x:v>
      </x:c>
      <x:c r="D106" s="47" t="str">
        <x:v>오픈열람실2 AP</x:v>
      </x:c>
      <x:c r="E106" s="47" t="str">
        <x:v>고정</x:v>
      </x:c>
      <x:c r="F106" s="48" t="n">
        <x:v>60</x:v>
      </x:c>
      <x:c r="G106" s="48" t="n">
        <x:v>1</x:v>
      </x:c>
      <x:c r="H106" s="48" t="n">
        <x:v>48</x:v>
      </x:c>
      <x:c r="I106" s="49" t="n">
        <x:v>-52</x:v>
      </x:c>
      <x:c r="J106" s="49" t="n">
        <x:v>1201</x:v>
      </x:c>
      <x:c r="K106" s="49" t="n">
        <x:v>21</x:v>
      </x:c>
      <x:c r="L106" s="49" t="n">
        <x:v>4</x:v>
      </x:c>
      <x:c r="M106" s="49" t="n">
        <x:v>0</x:v>
      </x:c>
      <x:c r="N106" s="49" t="n">
        <x:v>44.6387</x:v>
      </x:c>
      <x:c r="O106" s="49" t="n">
        <x:v>129.235</x:v>
      </x:c>
      <x:c r="P106" s="49" t="n">
        <x:f>IF(OR(N106="",O106=""),"",2*N106*O106/(N106+O106))</x:f>
        <x:v>66.35715918508664</x:v>
      </x:c>
      <x:c r="Q106" s="58" t="str">
        <x:v>오열에서_오열2_1시간 측정_1.png; 오열에서_오열2_1시간 측정_2.png</x:v>
      </x:c>
      <x:c r="R106" s="58" t="str">
        <x:v>기존 Excel 대응</x:v>
      </x:c>
      <x:c r="S106" s="59" t="str"/>
    </x:row>
    <x:row r="107" ht="15" hidden="0" customHeight="1">
      <x:c r="A107" s="46" t="str">
        <x:v>OPEN2_1H_R1</x:v>
      </x:c>
      <x:c r="B107" s="47" t="str">
        <x:v>일반</x:v>
      </x:c>
      <x:c r="C107" s="47" t="str">
        <x:v>오픈열람실2</x:v>
      </x:c>
      <x:c r="D107" s="47" t="str">
        <x:v>오픈열람실2 AP</x:v>
      </x:c>
      <x:c r="E107" s="47" t="str">
        <x:v>고정</x:v>
      </x:c>
      <x:c r="F107" s="48" t="n">
        <x:v>60</x:v>
      </x:c>
      <x:c r="G107" s="48" t="n">
        <x:v>1</x:v>
      </x:c>
      <x:c r="H107" s="48" t="n">
        <x:v>49</x:v>
      </x:c>
      <x:c r="I107" s="49" t="n">
        <x:v>-52</x:v>
      </x:c>
      <x:c r="J107" s="49" t="n">
        <x:v>1201</x:v>
      </x:c>
      <x:c r="K107" s="49" t="n">
        <x:v>12</x:v>
      </x:c>
      <x:c r="L107" s="49" t="n">
        <x:v>8</x:v>
      </x:c>
      <x:c r="M107" s="49" t="n">
        <x:v>0</x:v>
      </x:c>
      <x:c r="N107" s="49" t="n">
        <x:v>113.1937</x:v>
      </x:c>
      <x:c r="O107" s="49" t="n">
        <x:v>70.7292</x:v>
      </x:c>
      <x:c r="P107" s="49" t="n">
        <x:f>IF(OR(N107="",O107=""),"",2*N107*O107/(N107+O107))</x:f>
        <x:v>87.05930415451257</x:v>
      </x:c>
      <x:c r="Q107" s="58" t="str">
        <x:v>오열에서_오열2_1시간 측정_1.png; 오열에서_오열2_1시간 측정_2.png</x:v>
      </x:c>
      <x:c r="R107" s="58" t="str">
        <x:v>기존 Excel 대응</x:v>
      </x:c>
      <x:c r="S107" s="59" t="str"/>
    </x:row>
    <x:row r="108" ht="15" hidden="0" customHeight="1">
      <x:c r="A108" s="46" t="str">
        <x:v>OPEN2_1H_R1</x:v>
      </x:c>
      <x:c r="B108" s="47" t="str">
        <x:v>일반</x:v>
      </x:c>
      <x:c r="C108" s="47" t="str">
        <x:v>오픈열람실2</x:v>
      </x:c>
      <x:c r="D108" s="47" t="str">
        <x:v>오픈열람실2 AP</x:v>
      </x:c>
      <x:c r="E108" s="47" t="str">
        <x:v>고정</x:v>
      </x:c>
      <x:c r="F108" s="48" t="n">
        <x:v>60</x:v>
      </x:c>
      <x:c r="G108" s="48" t="n">
        <x:v>1</x:v>
      </x:c>
      <x:c r="H108" s="48" t="n">
        <x:v>50</x:v>
      </x:c>
      <x:c r="I108" s="49" t="n">
        <x:v>-57</x:v>
      </x:c>
      <x:c r="J108" s="49" t="n">
        <x:v>1201</x:v>
      </x:c>
      <x:c r="K108" s="49" t="n">
        <x:v>50</x:v>
      </x:c>
      <x:c r="L108" s="49" t="n">
        <x:v>8</x:v>
      </x:c>
      <x:c r="M108" s="49" t="n">
        <x:v>0</x:v>
      </x:c>
      <x:c r="N108" s="49"/>
      <x:c r="O108" s="49" t="n">
        <x:v>119.6868</x:v>
      </x:c>
      <x:c r="P108" s="49" t="str">
        <x:f>IF(OR(N108="",O108=""),"",2*N108*O108/(N108+O108))</x:f>
      </x:c>
      <x:c r="Q108" s="58" t="str">
        <x:v>오열에서_오열2_1시간 측정_1.png; 오열에서_오열2_1시간 측정_2.png</x:v>
      </x:c>
      <x:c r="R108" s="58" t="str">
        <x:v>기존 Excel 대응</x:v>
      </x:c>
      <x:c r="S108" s="59" t="str">
        <x:v>원본 이미지에서 NaN 확인</x:v>
      </x:c>
    </x:row>
    <x:row r="109" ht="15" hidden="0" customHeight="1">
      <x:c r="A109" s="46" t="str">
        <x:v>OPEN2_1H_R1</x:v>
      </x:c>
      <x:c r="B109" s="47" t="str">
        <x:v>일반</x:v>
      </x:c>
      <x:c r="C109" s="47" t="str">
        <x:v>오픈열람실2</x:v>
      </x:c>
      <x:c r="D109" s="47" t="str">
        <x:v>오픈열람실2 AP</x:v>
      </x:c>
      <x:c r="E109" s="47" t="str">
        <x:v>고정</x:v>
      </x:c>
      <x:c r="F109" s="48" t="n">
        <x:v>60</x:v>
      </x:c>
      <x:c r="G109" s="48" t="n">
        <x:v>1</x:v>
      </x:c>
      <x:c r="H109" s="48" t="n">
        <x:v>51</x:v>
      </x:c>
      <x:c r="I109" s="49" t="n">
        <x:v>-54</x:v>
      </x:c>
      <x:c r="J109" s="49" t="n">
        <x:v>1201</x:v>
      </x:c>
      <x:c r="K109" s="49" t="n">
        <x:v>28</x:v>
      </x:c>
      <x:c r="L109" s="49" t="n">
        <x:v>6</x:v>
      </x:c>
      <x:c r="M109" s="49" t="n">
        <x:v>0</x:v>
      </x:c>
      <x:c r="N109" s="49" t="n">
        <x:v>129.7719</x:v>
      </x:c>
      <x:c r="O109" s="49" t="n">
        <x:v>108.1673</x:v>
      </x:c>
      <x:c r="P109" s="49" t="n">
        <x:f>IF(OR(N109="",O109=""),"",2*N109*O109/(N109+O109))</x:f>
        <x:v>117.98876384278</x:v>
      </x:c>
      <x:c r="Q109" s="58" t="str">
        <x:v>오열에서_오열2_1시간 측정_1.png; 오열에서_오열2_1시간 측정_2.png</x:v>
      </x:c>
      <x:c r="R109" s="58" t="str">
        <x:v>기존 Excel 대응</x:v>
      </x:c>
      <x:c r="S109" s="59" t="str"/>
    </x:row>
    <x:row r="110" ht="15" hidden="0" customHeight="1">
      <x:c r="A110" s="46" t="str">
        <x:v>OPEN2_1H_R1</x:v>
      </x:c>
      <x:c r="B110" s="47" t="str">
        <x:v>일반</x:v>
      </x:c>
      <x:c r="C110" s="47" t="str">
        <x:v>오픈열람실2</x:v>
      </x:c>
      <x:c r="D110" s="47" t="str">
        <x:v>오픈열람실2 AP</x:v>
      </x:c>
      <x:c r="E110" s="47" t="str">
        <x:v>고정</x:v>
      </x:c>
      <x:c r="F110" s="48" t="n">
        <x:v>60</x:v>
      </x:c>
      <x:c r="G110" s="48" t="n">
        <x:v>1</x:v>
      </x:c>
      <x:c r="H110" s="48" t="n">
        <x:v>52</x:v>
      </x:c>
      <x:c r="I110" s="49" t="n">
        <x:v>-56</x:v>
      </x:c>
      <x:c r="J110" s="49" t="n">
        <x:v>1201</x:v>
      </x:c>
      <x:c r="K110" s="49" t="n">
        <x:v>16</x:v>
      </x:c>
      <x:c r="L110" s="49" t="n">
        <x:v>11</x:v>
      </x:c>
      <x:c r="M110" s="49" t="n">
        <x:v>0</x:v>
      </x:c>
      <x:c r="N110" s="49" t="n">
        <x:v>132.016</x:v>
      </x:c>
      <x:c r="O110" s="49" t="n">
        <x:v>137.4023</x:v>
      </x:c>
      <x:c r="P110" s="49" t="n">
        <x:f>IF(OR(N110="",O110=""),"",2*N110*O110/(N110+O110))</x:f>
        <x:v>134.65530765207856</x:v>
      </x:c>
      <x:c r="Q110" s="58" t="str">
        <x:v>오열에서_오열2_1시간 측정_1.png; 오열에서_오열2_1시간 측정_2.png</x:v>
      </x:c>
      <x:c r="R110" s="58" t="str">
        <x:v>기존 Excel 대응</x:v>
      </x:c>
      <x:c r="S110" s="59" t="str"/>
    </x:row>
    <x:row r="111" ht="15" hidden="0" customHeight="1">
      <x:c r="A111" s="46" t="str">
        <x:v>OPEN2_1H_R1</x:v>
      </x:c>
      <x:c r="B111" s="47" t="str">
        <x:v>일반</x:v>
      </x:c>
      <x:c r="C111" s="47" t="str">
        <x:v>오픈열람실2</x:v>
      </x:c>
      <x:c r="D111" s="47" t="str">
        <x:v>오픈열람실2 AP</x:v>
      </x:c>
      <x:c r="E111" s="47" t="str">
        <x:v>고정</x:v>
      </x:c>
      <x:c r="F111" s="48" t="n">
        <x:v>60</x:v>
      </x:c>
      <x:c r="G111" s="48" t="n">
        <x:v>1</x:v>
      </x:c>
      <x:c r="H111" s="48" t="n">
        <x:v>53</x:v>
      </x:c>
      <x:c r="I111" s="49" t="n">
        <x:v>-56</x:v>
      </x:c>
      <x:c r="J111" s="49" t="n">
        <x:v>1201</x:v>
      </x:c>
      <x:c r="K111" s="49" t="n">
        <x:v>16</x:v>
      </x:c>
      <x:c r="L111" s="49" t="n">
        <x:v>11</x:v>
      </x:c>
      <x:c r="M111" s="49" t="n">
        <x:v>0</x:v>
      </x:c>
      <x:c r="N111" s="49" t="n">
        <x:v>59.5972</x:v>
      </x:c>
      <x:c r="O111" s="49" t="n">
        <x:v>65.7859</x:v>
      </x:c>
      <x:c r="P111" s="49" t="n">
        <x:f>IF(OR(N111="",O111=""),"",2*N111*O111/(N111+O111))</x:f>
        <x:v>62.53881806208333</x:v>
      </x:c>
      <x:c r="Q111" s="58" t="str">
        <x:v>오열에서_오열2_1시간 측정_1.png; 오열에서_오열2_1시간 측정_2.png</x:v>
      </x:c>
      <x:c r="R111" s="58" t="str">
        <x:v>기존 Excel 대응</x:v>
      </x:c>
      <x:c r="S111" s="59" t="str"/>
    </x:row>
    <x:row r="112" ht="15" hidden="0" customHeight="1">
      <x:c r="A112" s="46" t="str">
        <x:v>OPEN2_1H_R1</x:v>
      </x:c>
      <x:c r="B112" s="47" t="str">
        <x:v>일반</x:v>
      </x:c>
      <x:c r="C112" s="47" t="str">
        <x:v>오픈열람실2</x:v>
      </x:c>
      <x:c r="D112" s="47" t="str">
        <x:v>오픈열람실2 AP</x:v>
      </x:c>
      <x:c r="E112" s="47" t="str">
        <x:v>고정</x:v>
      </x:c>
      <x:c r="F112" s="48" t="n">
        <x:v>60</x:v>
      </x:c>
      <x:c r="G112" s="48" t="n">
        <x:v>1</x:v>
      </x:c>
      <x:c r="H112" s="48" t="n">
        <x:v>54</x:v>
      </x:c>
      <x:c r="I112" s="49" t="n">
        <x:v>-53</x:v>
      </x:c>
      <x:c r="J112" s="49" t="n">
        <x:v>1201</x:v>
      </x:c>
      <x:c r="K112" s="49" t="n">
        <x:v>40</x:v>
      </x:c>
      <x:c r="L112" s="49" t="n">
        <x:v>11</x:v>
      </x:c>
      <x:c r="M112" s="49" t="n">
        <x:v>0</x:v>
      </x:c>
      <x:c r="N112" s="49" t="n">
        <x:v>72.2049</x:v>
      </x:c>
      <x:c r="O112" s="49" t="n">
        <x:v>100.3917</x:v>
      </x:c>
      <x:c r="P112" s="49" t="n">
        <x:f>IF(OR(N112="",O112=""),"",2*N112*O112/(N112+O112))</x:f>
        <x:v>83.9967028241576</x:v>
      </x:c>
      <x:c r="Q112" s="58" t="str">
        <x:v>오열에서_오열2_1시간 측정_1.png; 오열에서_오열2_1시간 측정_2.png</x:v>
      </x:c>
      <x:c r="R112" s="58" t="str">
        <x:v>기존 Excel 대응</x:v>
      </x:c>
      <x:c r="S112" s="59" t="str"/>
    </x:row>
    <x:row r="113" ht="15" hidden="0" customHeight="1">
      <x:c r="A113" s="46" t="str">
        <x:v>OPEN2_1H_R1</x:v>
      </x:c>
      <x:c r="B113" s="47" t="str">
        <x:v>일반</x:v>
      </x:c>
      <x:c r="C113" s="47" t="str">
        <x:v>오픈열람실2</x:v>
      </x:c>
      <x:c r="D113" s="47" t="str">
        <x:v>오픈열람실2 AP</x:v>
      </x:c>
      <x:c r="E113" s="47" t="str">
        <x:v>고정</x:v>
      </x:c>
      <x:c r="F113" s="48" t="n">
        <x:v>60</x:v>
      </x:c>
      <x:c r="G113" s="48" t="n">
        <x:v>1</x:v>
      </x:c>
      <x:c r="H113" s="48" t="n">
        <x:v>55</x:v>
      </x:c>
      <x:c r="I113" s="49" t="n">
        <x:v>-56</x:v>
      </x:c>
      <x:c r="J113" s="49" t="n">
        <x:v>1201</x:v>
      </x:c>
      <x:c r="K113" s="49" t="n">
        <x:v>18</x:v>
      </x:c>
      <x:c r="L113" s="49" t="n">
        <x:v>4</x:v>
      </x:c>
      <x:c r="M113" s="49" t="n">
        <x:v>0</x:v>
      </x:c>
      <x:c r="N113" s="49" t="n">
        <x:v>118.8826</x:v>
      </x:c>
      <x:c r="O113" s="49" t="n">
        <x:v>156.4005</x:v>
      </x:c>
      <x:c r="P113" s="49" t="n">
        <x:f>IF(OR(N113="",O113=""),"",2*N113*O113/(N113+O113))</x:f>
        <x:v>135.0849222585767</x:v>
      </x:c>
      <x:c r="Q113" s="58" t="str">
        <x:v>오열에서_오열2_1시간 측정_1.png; 오열에서_오열2_1시간 측정_2.png</x:v>
      </x:c>
      <x:c r="R113" s="58" t="str">
        <x:v>기존 Excel 대응</x:v>
      </x:c>
      <x:c r="S113" s="59" t="str"/>
    </x:row>
    <x:row r="114" ht="15" hidden="0" customHeight="1">
      <x:c r="A114" s="46" t="str">
        <x:v>OPEN2_1H_R1</x:v>
      </x:c>
      <x:c r="B114" s="47" t="str">
        <x:v>일반</x:v>
      </x:c>
      <x:c r="C114" s="47" t="str">
        <x:v>오픈열람실2</x:v>
      </x:c>
      <x:c r="D114" s="47" t="str">
        <x:v>오픈열람실2 AP</x:v>
      </x:c>
      <x:c r="E114" s="47" t="str">
        <x:v>고정</x:v>
      </x:c>
      <x:c r="F114" s="48" t="n">
        <x:v>60</x:v>
      </x:c>
      <x:c r="G114" s="48" t="n">
        <x:v>1</x:v>
      </x:c>
      <x:c r="H114" s="48" t="n">
        <x:v>56</x:v>
      </x:c>
      <x:c r="I114" s="49" t="n">
        <x:v>-53</x:v>
      </x:c>
      <x:c r="J114" s="49" t="n">
        <x:v>1201</x:v>
      </x:c>
      <x:c r="K114" s="49" t="n">
        <x:v>20</x:v>
      </x:c>
      <x:c r="L114" s="49" t="n">
        <x:v>7</x:v>
      </x:c>
      <x:c r="M114" s="49" t="n">
        <x:v>0</x:v>
      </x:c>
      <x:c r="N114" s="49" t="n">
        <x:v>126.4213</x:v>
      </x:c>
      <x:c r="O114" s="49" t="n">
        <x:v>123.861</x:v>
      </x:c>
      <x:c r="P114" s="49" t="n">
        <x:f>IF(OR(N114="",O114=""),"",2*N114*O114/(N114+O114))</x:f>
        <x:v>125.12805451524137</x:v>
      </x:c>
      <x:c r="Q114" s="58" t="str">
        <x:v>오열에서_오열2_1시간 측정_1.png; 오열에서_오열2_1시간 측정_2.png</x:v>
      </x:c>
      <x:c r="R114" s="58" t="str">
        <x:v>기존 Excel 대응</x:v>
      </x:c>
      <x:c r="S114" s="59" t="str"/>
    </x:row>
    <x:row r="115" ht="15" hidden="0" customHeight="1">
      <x:c r="A115" s="46" t="str">
        <x:v>OPEN2_1H_R1</x:v>
      </x:c>
      <x:c r="B115" s="47" t="str">
        <x:v>일반</x:v>
      </x:c>
      <x:c r="C115" s="47" t="str">
        <x:v>오픈열람실2</x:v>
      </x:c>
      <x:c r="D115" s="47" t="str">
        <x:v>오픈열람실2 AP</x:v>
      </x:c>
      <x:c r="E115" s="47" t="str">
        <x:v>고정</x:v>
      </x:c>
      <x:c r="F115" s="48" t="n">
        <x:v>60</x:v>
      </x:c>
      <x:c r="G115" s="48" t="n">
        <x:v>1</x:v>
      </x:c>
      <x:c r="H115" s="48" t="n">
        <x:v>57</x:v>
      </x:c>
      <x:c r="I115" s="49" t="n">
        <x:v>-55</x:v>
      </x:c>
      <x:c r="J115" s="49" t="n">
        <x:v>1201</x:v>
      </x:c>
      <x:c r="K115" s="49" t="n">
        <x:v>23</x:v>
      </x:c>
      <x:c r="L115" s="49" t="n">
        <x:v>6</x:v>
      </x:c>
      <x:c r="M115" s="49" t="n">
        <x:v>0</x:v>
      </x:c>
      <x:c r="N115" s="49" t="n">
        <x:v>66.3681</x:v>
      </x:c>
      <x:c r="O115" s="49" t="n">
        <x:v>116.6572</x:v>
      </x:c>
      <x:c r="P115" s="49" t="n">
        <x:f>IF(OR(N115="",O115=""),"",2*N115*O115/(N115+O115))</x:f>
        <x:v>84.60378663845927</x:v>
      </x:c>
      <x:c r="Q115" s="58" t="str">
        <x:v>오열에서_오열2_1시간 측정_1.png; 오열에서_오열2_1시간 측정_2.png</x:v>
      </x:c>
      <x:c r="R115" s="58" t="str">
        <x:v>기존 Excel 대응</x:v>
      </x:c>
      <x:c r="S115" s="59" t="str"/>
    </x:row>
    <x:row r="116" ht="15" hidden="0" customHeight="1">
      <x:c r="A116" s="46" t="str">
        <x:v>OPEN2_20M_R1</x:v>
      </x:c>
      <x:c r="B116" s="47" t="str">
        <x:v>일반</x:v>
      </x:c>
      <x:c r="C116" s="47" t="str">
        <x:v>오픈열람실2</x:v>
      </x:c>
      <x:c r="D116" s="47" t="str">
        <x:v>오픈열람실2 AP</x:v>
      </x:c>
      <x:c r="E116" s="47" t="str">
        <x:v>고정</x:v>
      </x:c>
      <x:c r="F116" s="48" t="n">
        <x:v>20</x:v>
      </x:c>
      <x:c r="G116" s="48" t="n">
        <x:v>1</x:v>
      </x:c>
      <x:c r="H116" s="48" t="n">
        <x:v>1</x:v>
      </x:c>
      <x:c r="I116" s="49" t="n">
        <x:v>-54</x:v>
      </x:c>
      <x:c r="J116" s="49" t="n">
        <x:v>1201</x:v>
      </x:c>
      <x:c r="K116" s="49" t="n">
        <x:v>60</x:v>
      </x:c>
      <x:c r="L116" s="49" t="n">
        <x:v>6</x:v>
      </x:c>
      <x:c r="M116" s="49" t="n">
        <x:v>0</x:v>
      </x:c>
      <x:c r="N116" s="49" t="n">
        <x:v>53.5872</x:v>
      </x:c>
      <x:c r="O116" s="49" t="n">
        <x:v>126.0636</x:v>
      </x:c>
      <x:c r="P116" s="49" t="n">
        <x:f>IF(OR(N116="",O116=""),"",2*N116*O116/(N116+O116))</x:f>
        <x:v>75.20584763240687</x:v>
      </x:c>
      <x:c r="Q116" s="58" t="str">
        <x:v>오열에서_오열2_20분 측정_2.png</x:v>
      </x:c>
      <x:c r="R116" s="58" t="str">
        <x:v>이미지 판독</x:v>
      </x:c>
      <x:c r="S116" s="59" t="str">
        <x:v>이미지 판독값—원본 대조 권장</x:v>
      </x:c>
    </x:row>
    <x:row r="117" ht="15" hidden="0" customHeight="1">
      <x:c r="A117" s="46" t="str">
        <x:v>OPEN2_20M_R1</x:v>
      </x:c>
      <x:c r="B117" s="47" t="str">
        <x:v>일반</x:v>
      </x:c>
      <x:c r="C117" s="47" t="str">
        <x:v>오픈열람실2</x:v>
      </x:c>
      <x:c r="D117" s="47" t="str">
        <x:v>오픈열람실2 AP</x:v>
      </x:c>
      <x:c r="E117" s="47" t="str">
        <x:v>고정</x:v>
      </x:c>
      <x:c r="F117" s="48" t="n">
        <x:v>20</x:v>
      </x:c>
      <x:c r="G117" s="48" t="n">
        <x:v>1</x:v>
      </x:c>
      <x:c r="H117" s="48" t="n">
        <x:v>2</x:v>
      </x:c>
      <x:c r="I117" s="49" t="n">
        <x:v>-54</x:v>
      </x:c>
      <x:c r="J117" s="49" t="n">
        <x:v>1201</x:v>
      </x:c>
      <x:c r="K117" s="49" t="n">
        <x:v>27</x:v>
      </x:c>
      <x:c r="L117" s="49" t="n">
        <x:v>6</x:v>
      </x:c>
      <x:c r="M117" s="49" t="n">
        <x:v>0</x:v>
      </x:c>
      <x:c r="N117" s="49" t="n">
        <x:v>49.6562</x:v>
      </x:c>
      <x:c r="O117" s="49" t="n">
        <x:v>115.1831</x:v>
      </x:c>
      <x:c r="P117" s="49" t="n">
        <x:f>IF(OR(N117="",O117=""),"",2*N117*O117/(N117+O117))</x:f>
        <x:v>69.39552704021432</x:v>
      </x:c>
      <x:c r="Q117" s="58" t="str">
        <x:v>오열에서_오열2_20분 측정_2.png</x:v>
      </x:c>
      <x:c r="R117" s="58" t="str">
        <x:v>이미지 판독</x:v>
      </x:c>
      <x:c r="S117" s="59" t="str">
        <x:v>이미지 판독값—원본 대조 권장</x:v>
      </x:c>
    </x:row>
    <x:row r="118" ht="15" hidden="0" customHeight="1">
      <x:c r="A118" s="46" t="str">
        <x:v>OPEN2_20M_R1</x:v>
      </x:c>
      <x:c r="B118" s="47" t="str">
        <x:v>일반</x:v>
      </x:c>
      <x:c r="C118" s="47" t="str">
        <x:v>오픈열람실2</x:v>
      </x:c>
      <x:c r="D118" s="47" t="str">
        <x:v>오픈열람실2 AP</x:v>
      </x:c>
      <x:c r="E118" s="47" t="str">
        <x:v>고정</x:v>
      </x:c>
      <x:c r="F118" s="48" t="n">
        <x:v>20</x:v>
      </x:c>
      <x:c r="G118" s="48" t="n">
        <x:v>1</x:v>
      </x:c>
      <x:c r="H118" s="48" t="n">
        <x:v>3</x:v>
      </x:c>
      <x:c r="I118" s="49" t="n">
        <x:v>-57</x:v>
      </x:c>
      <x:c r="J118" s="49" t="n">
        <x:v>1201</x:v>
      </x:c>
      <x:c r="K118" s="49" t="n">
        <x:v>43</x:v>
      </x:c>
      <x:c r="L118" s="49" t="n">
        <x:v>5</x:v>
      </x:c>
      <x:c r="M118" s="49" t="n">
        <x:v>0</x:v>
      </x:c>
      <x:c r="N118" s="49" t="n">
        <x:v>95.0826</x:v>
      </x:c>
      <x:c r="O118" s="49" t="n">
        <x:v>77.9855</x:v>
      </x:c>
      <x:c r="P118" s="49" t="n">
        <x:f>IF(OR(N118="",O118=""),"",2*N118*O118/(N118+O118))</x:f>
        <x:v>85.68955344514673</x:v>
      </x:c>
      <x:c r="Q118" s="58" t="str">
        <x:v>오열에서_오열2_20분 측정_2.png</x:v>
      </x:c>
      <x:c r="R118" s="58" t="str">
        <x:v>이미지 판독</x:v>
      </x:c>
      <x:c r="S118" s="59" t="str">
        <x:v>이미지 판독값—원본 대조 권장</x:v>
      </x:c>
    </x:row>
    <x:row r="119" ht="15" hidden="0" customHeight="1">
      <x:c r="A119" s="46" t="str">
        <x:v>OPEN2_20M_R1</x:v>
      </x:c>
      <x:c r="B119" s="47" t="str">
        <x:v>일반</x:v>
      </x:c>
      <x:c r="C119" s="47" t="str">
        <x:v>오픈열람실2</x:v>
      </x:c>
      <x:c r="D119" s="47" t="str">
        <x:v>오픈열람실2 AP</x:v>
      </x:c>
      <x:c r="E119" s="47" t="str">
        <x:v>고정</x:v>
      </x:c>
      <x:c r="F119" s="48" t="n">
        <x:v>20</x:v>
      </x:c>
      <x:c r="G119" s="48" t="n">
        <x:v>1</x:v>
      </x:c>
      <x:c r="H119" s="48" t="n">
        <x:v>4</x:v>
      </x:c>
      <x:c r="I119" s="49" t="n">
        <x:v>-54</x:v>
      </x:c>
      <x:c r="J119" s="49" t="n">
        <x:v>1201</x:v>
      </x:c>
      <x:c r="K119" s="49" t="n">
        <x:v>53</x:v>
      </x:c>
      <x:c r="L119" s="49" t="n">
        <x:v>8</x:v>
      </x:c>
      <x:c r="M119" s="49" t="n">
        <x:v>0</x:v>
      </x:c>
      <x:c r="N119" s="49" t="n">
        <x:v>107.803</x:v>
      </x:c>
      <x:c r="O119" s="49" t="n">
        <x:v>118.606</x:v>
      </x:c>
      <x:c r="P119" s="49" t="n">
        <x:f>IF(OR(N119="",O119=""),"",2*N119*O119/(N119+O119))</x:f>
        <x:v>112.94676994289095</x:v>
      </x:c>
      <x:c r="Q119" s="58" t="str">
        <x:v>오열에서_오열2_20분 측정_2.png</x:v>
      </x:c>
      <x:c r="R119" s="58" t="str">
        <x:v>이미지 판독</x:v>
      </x:c>
      <x:c r="S119" s="59" t="str">
        <x:v>이미지 판독값—원본 대조 권장</x:v>
      </x:c>
    </x:row>
    <x:row r="120" ht="15" hidden="0" customHeight="1">
      <x:c r="A120" s="46" t="str">
        <x:v>OPEN2_20M_R1</x:v>
      </x:c>
      <x:c r="B120" s="47" t="str">
        <x:v>일반</x:v>
      </x:c>
      <x:c r="C120" s="47" t="str">
        <x:v>오픈열람실2</x:v>
      </x:c>
      <x:c r="D120" s="47" t="str">
        <x:v>오픈열람실2 AP</x:v>
      </x:c>
      <x:c r="E120" s="47" t="str">
        <x:v>고정</x:v>
      </x:c>
      <x:c r="F120" s="48" t="n">
        <x:v>20</x:v>
      </x:c>
      <x:c r="G120" s="48" t="n">
        <x:v>1</x:v>
      </x:c>
      <x:c r="H120" s="48" t="n">
        <x:v>5</x:v>
      </x:c>
      <x:c r="I120" s="49" t="n">
        <x:v>-54</x:v>
      </x:c>
      <x:c r="J120" s="49" t="n">
        <x:v>1201</x:v>
      </x:c>
      <x:c r="K120" s="49" t="n">
        <x:v>34</x:v>
      </x:c>
      <x:c r="L120" s="49" t="n">
        <x:v>5</x:v>
      </x:c>
      <x:c r="M120" s="49" t="n">
        <x:v>0</x:v>
      </x:c>
      <x:c r="N120" s="49" t="n">
        <x:v>38.2072</x:v>
      </x:c>
      <x:c r="O120" s="49" t="n">
        <x:v>101.6291</x:v>
      </x:c>
      <x:c r="P120" s="49" t="n">
        <x:f>IF(OR(N120="",O120=""),"",2*N120*O120/(N120+O120))</x:f>
        <x:v>55.53584226012845</x:v>
      </x:c>
      <x:c r="Q120" s="58" t="str">
        <x:v>오열에서_오열2_20분 측정_2.png</x:v>
      </x:c>
      <x:c r="R120" s="58" t="str">
        <x:v>이미지 판독</x:v>
      </x:c>
      <x:c r="S120" s="59" t="str">
        <x:v>이미지 판독값—원본 대조 권장</x:v>
      </x:c>
    </x:row>
    <x:row r="121" ht="15" hidden="0" customHeight="1">
      <x:c r="A121" s="46" t="str">
        <x:v>OPEN2_20M_R1</x:v>
      </x:c>
      <x:c r="B121" s="47" t="str">
        <x:v>일반</x:v>
      </x:c>
      <x:c r="C121" s="47" t="str">
        <x:v>오픈열람실2</x:v>
      </x:c>
      <x:c r="D121" s="47" t="str">
        <x:v>오픈열람실2 AP</x:v>
      </x:c>
      <x:c r="E121" s="47" t="str">
        <x:v>고정</x:v>
      </x:c>
      <x:c r="F121" s="48" t="n">
        <x:v>20</x:v>
      </x:c>
      <x:c r="G121" s="48" t="n">
        <x:v>1</x:v>
      </x:c>
      <x:c r="H121" s="48" t="n">
        <x:v>6</x:v>
      </x:c>
      <x:c r="I121" s="49" t="n">
        <x:v>-55</x:v>
      </x:c>
      <x:c r="J121" s="49" t="n">
        <x:v>1201</x:v>
      </x:c>
      <x:c r="K121" s="49" t="n">
        <x:v>52</x:v>
      </x:c>
      <x:c r="L121" s="49" t="n">
        <x:v>9</x:v>
      </x:c>
      <x:c r="M121" s="49" t="n">
        <x:v>0</x:v>
      </x:c>
      <x:c r="N121" s="49" t="n">
        <x:v>89.6761</x:v>
      </x:c>
      <x:c r="O121" s="49" t="n">
        <x:v>84.5298</x:v>
      </x:c>
      <x:c r="P121" s="49" t="n">
        <x:f>IF(OR(N121="",O121=""),"",2*N121*O121/(N121+O121))</x:f>
        <x:v>87.0269353423736</x:v>
      </x:c>
      <x:c r="Q121" s="58" t="str">
        <x:v>오열에서_오열2_20분 측정_2.png</x:v>
      </x:c>
      <x:c r="R121" s="58" t="str">
        <x:v>이미지 판독</x:v>
      </x:c>
      <x:c r="S121" s="59" t="str">
        <x:v>이미지 판독값—원본 대조 권장</x:v>
      </x:c>
    </x:row>
    <x:row r="122" ht="15" hidden="0" customHeight="1">
      <x:c r="A122" s="46" t="str">
        <x:v>OPEN2_20M_R1</x:v>
      </x:c>
      <x:c r="B122" s="47" t="str">
        <x:v>일반</x:v>
      </x:c>
      <x:c r="C122" s="47" t="str">
        <x:v>오픈열람실2</x:v>
      </x:c>
      <x:c r="D122" s="47" t="str">
        <x:v>오픈열람실2 AP</x:v>
      </x:c>
      <x:c r="E122" s="47" t="str">
        <x:v>고정</x:v>
      </x:c>
      <x:c r="F122" s="48" t="n">
        <x:v>20</x:v>
      </x:c>
      <x:c r="G122" s="48" t="n">
        <x:v>1</x:v>
      </x:c>
      <x:c r="H122" s="48" t="n">
        <x:v>7</x:v>
      </x:c>
      <x:c r="I122" s="49" t="n">
        <x:v>-58</x:v>
      </x:c>
      <x:c r="J122" s="49" t="n">
        <x:v>1201</x:v>
      </x:c>
      <x:c r="K122" s="49" t="n">
        <x:v>50</x:v>
      </x:c>
      <x:c r="L122" s="49" t="n">
        <x:v>10</x:v>
      </x:c>
      <x:c r="M122" s="49" t="n">
        <x:v>0</x:v>
      </x:c>
      <x:c r="N122" s="49" t="n">
        <x:v>127.9131</x:v>
      </x:c>
      <x:c r="O122" s="49" t="n">
        <x:v>106.0367</x:v>
      </x:c>
      <x:c r="P122" s="49" t="n">
        <x:f>IF(OR(N122="",O122=""),"",2*N122*O122/(N122+O122))</x:f>
        <x:v>115.95208041015637</x:v>
      </x:c>
      <x:c r="Q122" s="58" t="str">
        <x:v>오열에서_오열2_20분 측정_2.png</x:v>
      </x:c>
      <x:c r="R122" s="58" t="str">
        <x:v>이미지 판독</x:v>
      </x:c>
      <x:c r="S122" s="59" t="str">
        <x:v>이미지 판독값—원본 대조 권장</x:v>
      </x:c>
    </x:row>
    <x:row r="123" ht="15" hidden="0" customHeight="1">
      <x:c r="A123" s="46" t="str">
        <x:v>OPEN2_20M_R1</x:v>
      </x:c>
      <x:c r="B123" s="47" t="str">
        <x:v>일반</x:v>
      </x:c>
      <x:c r="C123" s="47" t="str">
        <x:v>오픈열람실2</x:v>
      </x:c>
      <x:c r="D123" s="47" t="str">
        <x:v>오픈열람실2 AP</x:v>
      </x:c>
      <x:c r="E123" s="47" t="str">
        <x:v>고정</x:v>
      </x:c>
      <x:c r="F123" s="48" t="n">
        <x:v>20</x:v>
      </x:c>
      <x:c r="G123" s="48" t="n">
        <x:v>1</x:v>
      </x:c>
      <x:c r="H123" s="48" t="n">
        <x:v>8</x:v>
      </x:c>
      <x:c r="I123" s="49" t="n">
        <x:v>-59</x:v>
      </x:c>
      <x:c r="J123" s="49" t="n">
        <x:v>1201</x:v>
      </x:c>
      <x:c r="K123" s="49" t="n">
        <x:v>29</x:v>
      </x:c>
      <x:c r="L123" s="49" t="n">
        <x:v>5</x:v>
      </x:c>
      <x:c r="M123" s="49" t="n">
        <x:v>0</x:v>
      </x:c>
      <x:c r="N123" s="49" t="n">
        <x:v>76.1272</x:v>
      </x:c>
      <x:c r="O123" s="49" t="n">
        <x:v>78.2655</x:v>
      </x:c>
      <x:c r="P123" s="49" t="n">
        <x:f>IF(OR(N123="",O123=""),"",2*N123*O123/(N123+O123))</x:f>
        <x:v>77.18154254184299</x:v>
      </x:c>
      <x:c r="Q123" s="58" t="str">
        <x:v>오열에서_오열2_20분 측정_2.png</x:v>
      </x:c>
      <x:c r="R123" s="58" t="str">
        <x:v>이미지 판독</x:v>
      </x:c>
      <x:c r="S123" s="59" t="str">
        <x:v>이미지 판독값—원본 대조 권장</x:v>
      </x:c>
    </x:row>
    <x:row r="124" ht="15" hidden="0" customHeight="1">
      <x:c r="A124" s="46" t="str">
        <x:v>OPEN2_20M_R1</x:v>
      </x:c>
      <x:c r="B124" s="47" t="str">
        <x:v>일반</x:v>
      </x:c>
      <x:c r="C124" s="47" t="str">
        <x:v>오픈열람실2</x:v>
      </x:c>
      <x:c r="D124" s="47" t="str">
        <x:v>오픈열람실2 AP</x:v>
      </x:c>
      <x:c r="E124" s="47" t="str">
        <x:v>고정</x:v>
      </x:c>
      <x:c r="F124" s="48" t="n">
        <x:v>20</x:v>
      </x:c>
      <x:c r="G124" s="48" t="n">
        <x:v>1</x:v>
      </x:c>
      <x:c r="H124" s="48" t="n">
        <x:v>9</x:v>
      </x:c>
      <x:c r="I124" s="49" t="n">
        <x:v>-57</x:v>
      </x:c>
      <x:c r="J124" s="49" t="n">
        <x:v>1201</x:v>
      </x:c>
      <x:c r="K124" s="49" t="n">
        <x:v>30</x:v>
      </x:c>
      <x:c r="L124" s="49" t="n">
        <x:v>6</x:v>
      </x:c>
      <x:c r="M124" s="49" t="n">
        <x:v>0</x:v>
      </x:c>
      <x:c r="N124" s="49" t="n">
        <x:v>96.7229</x:v>
      </x:c>
      <x:c r="O124" s="49" t="n">
        <x:v>86.7241</x:v>
      </x:c>
      <x:c r="P124" s="49" t="n">
        <x:f>IF(OR(N124="",O124=""),"",2*N124*O124/(N124+O124))</x:f>
        <x:v>91.45100712347435</x:v>
      </x:c>
      <x:c r="Q124" s="58" t="str">
        <x:v>오열에서_오열2_20분 측정_2.png</x:v>
      </x:c>
      <x:c r="R124" s="58" t="str">
        <x:v>이미지 판독</x:v>
      </x:c>
      <x:c r="S124" s="59" t="str">
        <x:v>이미지 판독값—원본 대조 권장</x:v>
      </x:c>
    </x:row>
    <x:row r="125" ht="15" hidden="0" customHeight="1">
      <x:c r="A125" s="46" t="str">
        <x:v>OPEN2_20M_R1</x:v>
      </x:c>
      <x:c r="B125" s="47" t="str">
        <x:v>일반</x:v>
      </x:c>
      <x:c r="C125" s="47" t="str">
        <x:v>오픈열람실2</x:v>
      </x:c>
      <x:c r="D125" s="47" t="str">
        <x:v>오픈열람실2 AP</x:v>
      </x:c>
      <x:c r="E125" s="47" t="str">
        <x:v>고정</x:v>
      </x:c>
      <x:c r="F125" s="48" t="n">
        <x:v>20</x:v>
      </x:c>
      <x:c r="G125" s="48" t="n">
        <x:v>1</x:v>
      </x:c>
      <x:c r="H125" s="48" t="n">
        <x:v>10</x:v>
      </x:c>
      <x:c r="I125" s="49" t="n">
        <x:v>-57</x:v>
      </x:c>
      <x:c r="J125" s="49" t="n">
        <x:v>1201</x:v>
      </x:c>
      <x:c r="K125" s="49" t="n">
        <x:v>31</x:v>
      </x:c>
      <x:c r="L125" s="49" t="n">
        <x:v>3</x:v>
      </x:c>
      <x:c r="M125" s="49" t="n">
        <x:v>0</x:v>
      </x:c>
      <x:c r="N125" s="49" t="n">
        <x:v>88.9189</x:v>
      </x:c>
      <x:c r="O125" s="49" t="n">
        <x:v>111.0962</x:v>
      </x:c>
      <x:c r="P125" s="49" t="n">
        <x:f>IF(OR(N125="",O125=""),"",2*N125*O125/(N125+O125))</x:f>
        <x:v>98.77806123817652</x:v>
      </x:c>
      <x:c r="Q125" s="58" t="str">
        <x:v>오열에서_오열2_20분 측정_2.png</x:v>
      </x:c>
      <x:c r="R125" s="58" t="str">
        <x:v>이미지 판독</x:v>
      </x:c>
      <x:c r="S125" s="59" t="str">
        <x:v>이미지 판독값—원본 대조 권장</x:v>
      </x:c>
    </x:row>
    <x:row r="126" ht="15" hidden="0" customHeight="1">
      <x:c r="A126" s="46" t="str">
        <x:v>OPEN2_20M_R1</x:v>
      </x:c>
      <x:c r="B126" s="47" t="str">
        <x:v>일반</x:v>
      </x:c>
      <x:c r="C126" s="47" t="str">
        <x:v>오픈열람실2</x:v>
      </x:c>
      <x:c r="D126" s="47" t="str">
        <x:v>오픈열람실2 AP</x:v>
      </x:c>
      <x:c r="E126" s="47" t="str">
        <x:v>고정</x:v>
      </x:c>
      <x:c r="F126" s="48" t="n">
        <x:v>20</x:v>
      </x:c>
      <x:c r="G126" s="48" t="n">
        <x:v>1</x:v>
      </x:c>
      <x:c r="H126" s="48" t="n">
        <x:v>11</x:v>
      </x:c>
      <x:c r="I126" s="49" t="n">
        <x:v>-56</x:v>
      </x:c>
      <x:c r="J126" s="49" t="n">
        <x:v>1201</x:v>
      </x:c>
      <x:c r="K126" s="49" t="n">
        <x:v>21</x:v>
      </x:c>
      <x:c r="L126" s="49" t="n">
        <x:v>6</x:v>
      </x:c>
      <x:c r="M126" s="49" t="n">
        <x:v>0</x:v>
      </x:c>
      <x:c r="N126" s="49" t="n">
        <x:v>64.8951</x:v>
      </x:c>
      <x:c r="O126" s="49" t="n">
        <x:v>118.8069</x:v>
      </x:c>
      <x:c r="P126" s="49" t="n">
        <x:f>IF(OR(N126="",O126=""),"",2*N126*O126/(N126+O126))</x:f>
        <x:v>83.94013844367508</x:v>
      </x:c>
      <x:c r="Q126" s="58" t="str">
        <x:v>오열에서_오열2_20분 측정_2.png</x:v>
      </x:c>
      <x:c r="R126" s="58" t="str">
        <x:v>이미지 판독</x:v>
      </x:c>
      <x:c r="S126" s="59" t="str">
        <x:v>이미지 판독값—원본 대조 권장</x:v>
      </x:c>
    </x:row>
    <x:row r="127" ht="15" hidden="0" customHeight="1">
      <x:c r="A127" s="46" t="str">
        <x:v>OPEN2_20M_R1</x:v>
      </x:c>
      <x:c r="B127" s="47" t="str">
        <x:v>일반</x:v>
      </x:c>
      <x:c r="C127" s="47" t="str">
        <x:v>오픈열람실2</x:v>
      </x:c>
      <x:c r="D127" s="47" t="str">
        <x:v>오픈열람실2 AP</x:v>
      </x:c>
      <x:c r="E127" s="47" t="str">
        <x:v>고정</x:v>
      </x:c>
      <x:c r="F127" s="48" t="n">
        <x:v>20</x:v>
      </x:c>
      <x:c r="G127" s="48" t="n">
        <x:v>1</x:v>
      </x:c>
      <x:c r="H127" s="48" t="n">
        <x:v>12</x:v>
      </x:c>
      <x:c r="I127" s="49" t="n">
        <x:v>-55</x:v>
      </x:c>
      <x:c r="J127" s="49" t="n">
        <x:v>1201</x:v>
      </x:c>
      <x:c r="K127" s="49" t="n">
        <x:v>20</x:v>
      </x:c>
      <x:c r="L127" s="49" t="n">
        <x:v>9</x:v>
      </x:c>
      <x:c r="M127" s="49" t="n">
        <x:v>0</x:v>
      </x:c>
      <x:c r="N127" s="49" t="n">
        <x:v>125.0849</x:v>
      </x:c>
      <x:c r="O127" s="49" t="n">
        <x:v>124.41</x:v>
      </x:c>
      <x:c r="P127" s="49" t="n">
        <x:f>IF(OR(N127="",O127=""),"",2*N127*O127/(N127+O127))</x:f>
        <x:v>124.7465371757098</x:v>
      </x:c>
      <x:c r="Q127" s="58" t="str">
        <x:v>오열에서_오열2_20분 측정_2.png</x:v>
      </x:c>
      <x:c r="R127" s="58" t="str">
        <x:v>이미지 판독</x:v>
      </x:c>
      <x:c r="S127" s="59" t="str">
        <x:v>이미지 판독값—원본 대조 권장</x:v>
      </x:c>
    </x:row>
    <x:row r="128" ht="15" hidden="0" customHeight="1">
      <x:c r="A128" s="46" t="str">
        <x:v>OPEN2_20M_R1</x:v>
      </x:c>
      <x:c r="B128" s="47" t="str">
        <x:v>일반</x:v>
      </x:c>
      <x:c r="C128" s="47" t="str">
        <x:v>오픈열람실2</x:v>
      </x:c>
      <x:c r="D128" s="47" t="str">
        <x:v>오픈열람실2 AP</x:v>
      </x:c>
      <x:c r="E128" s="47" t="str">
        <x:v>고정</x:v>
      </x:c>
      <x:c r="F128" s="48" t="n">
        <x:v>20</x:v>
      </x:c>
      <x:c r="G128" s="48" t="n">
        <x:v>1</x:v>
      </x:c>
      <x:c r="H128" s="48" t="n">
        <x:v>13</x:v>
      </x:c>
      <x:c r="I128" s="49" t="n">
        <x:v>-52</x:v>
      </x:c>
      <x:c r="J128" s="49" t="n">
        <x:v>1201</x:v>
      </x:c>
      <x:c r="K128" s="49" t="n">
        <x:v>17</x:v>
      </x:c>
      <x:c r="L128" s="49" t="n">
        <x:v>4</x:v>
      </x:c>
      <x:c r="M128" s="49" t="n">
        <x:v>0</x:v>
      </x:c>
      <x:c r="N128" s="49" t="n">
        <x:v>52.4809</x:v>
      </x:c>
      <x:c r="O128" s="49" t="n">
        <x:v>76.0285</x:v>
      </x:c>
      <x:c r="P128" s="49" t="n">
        <x:f>IF(OR(N128="",O128=""),"",2*N128*O128/(N128+O128))</x:f>
        <x:v>62.09731125738661</x:v>
      </x:c>
      <x:c r="Q128" s="58" t="str">
        <x:v>오열에서_오열2_20분 측정_2.png</x:v>
      </x:c>
      <x:c r="R128" s="58" t="str">
        <x:v>이미지 판독</x:v>
      </x:c>
      <x:c r="S128" s="59" t="str">
        <x:v>이미지 판독값—원본 대조 권장</x:v>
      </x:c>
    </x:row>
    <x:row r="129" ht="15" hidden="0" customHeight="1">
      <x:c r="A129" s="46" t="str">
        <x:v>OPEN2_20M_R1</x:v>
      </x:c>
      <x:c r="B129" s="47" t="str">
        <x:v>일반</x:v>
      </x:c>
      <x:c r="C129" s="47" t="str">
        <x:v>오픈열람실2</x:v>
      </x:c>
      <x:c r="D129" s="47" t="str">
        <x:v>오픈열람실2 AP</x:v>
      </x:c>
      <x:c r="E129" s="47" t="str">
        <x:v>고정</x:v>
      </x:c>
      <x:c r="F129" s="48" t="n">
        <x:v>20</x:v>
      </x:c>
      <x:c r="G129" s="48" t="n">
        <x:v>1</x:v>
      </x:c>
      <x:c r="H129" s="48" t="n">
        <x:v>14</x:v>
      </x:c>
      <x:c r="I129" s="49" t="n">
        <x:v>-53</x:v>
      </x:c>
      <x:c r="J129" s="49" t="n">
        <x:v>1201</x:v>
      </x:c>
      <x:c r="K129" s="49" t="n">
        <x:v>51</x:v>
      </x:c>
      <x:c r="L129" s="49" t="n">
        <x:v>16</x:v>
      </x:c>
      <x:c r="M129" s="49" t="n">
        <x:v>0</x:v>
      </x:c>
      <x:c r="N129" s="49" t="n">
        <x:v>51.0209</x:v>
      </x:c>
      <x:c r="O129" s="49" t="n">
        <x:v>111.0432</x:v>
      </x:c>
      <x:c r="P129" s="49" t="n">
        <x:f>IF(OR(N129="",O129=""),"",2*N129*O129/(N129+O129))</x:f>
        <x:v>69.91707605669609</x:v>
      </x:c>
      <x:c r="Q129" s="58" t="str">
        <x:v>오열에서_오열2_20분 측정_2.png</x:v>
      </x:c>
      <x:c r="R129" s="58" t="str">
        <x:v>이미지 판독</x:v>
      </x:c>
      <x:c r="S129" s="59" t="str">
        <x:v>이미지 판독값—원본 대조 권장</x:v>
      </x:c>
    </x:row>
    <x:row r="130" ht="15" hidden="0" customHeight="1">
      <x:c r="A130" s="46" t="str">
        <x:v>FREE1_1H_R1</x:v>
      </x:c>
      <x:c r="B130" s="47" t="str">
        <x:v>일반</x:v>
      </x:c>
      <x:c r="C130" s="47" t="str">
        <x:v>오픈열람실2</x:v>
      </x:c>
      <x:c r="D130" s="47" t="str">
        <x:v>자유열람실1 AP</x:v>
      </x:c>
      <x:c r="E130" s="47" t="str">
        <x:v>고정</x:v>
      </x:c>
      <x:c r="F130" s="48" t="n">
        <x:v>60</x:v>
      </x:c>
      <x:c r="G130" s="48" t="n">
        <x:v>1</x:v>
      </x:c>
      <x:c r="H130" s="48" t="n">
        <x:v>1</x:v>
      </x:c>
      <x:c r="I130" s="49" t="n">
        <x:v>-75</x:v>
      </x:c>
      <x:c r="J130" s="49" t="n">
        <x:v>424.25</x:v>
      </x:c>
      <x:c r="K130" s="49" t="n">
        <x:v>41</x:v>
      </x:c>
      <x:c r="L130" s="49" t="n">
        <x:v>8</x:v>
      </x:c>
      <x:c r="M130" s="49" t="n">
        <x:v>0</x:v>
      </x:c>
      <x:c r="N130" s="49" t="n">
        <x:v>3.3521</x:v>
      </x:c>
      <x:c r="O130" s="49" t="n">
        <x:v>2.0904</x:v>
      </x:c>
      <x:c r="P130" s="49" t="n">
        <x:f>IF(OR(N130="",O130=""),"",2*N130*O130/(N130+O130))</x:f>
        <x:v>2.575004075333027</x:v>
      </x:c>
      <x:c r="Q130" s="58" t="str">
        <x:v>1시간_측정_자유열람실1_오열에서_1.jpg; 1시간_측정_자유열람실1_오열에서_2.jpg</x:v>
      </x:c>
      <x:c r="R130" s="58" t="str">
        <x:v>기존 Excel 대응</x:v>
      </x:c>
      <x:c r="S130" s="59" t="str"/>
    </x:row>
    <x:row r="131" ht="15" hidden="0" customHeight="1">
      <x:c r="A131" s="46" t="str">
        <x:v>FREE1_1H_R1</x:v>
      </x:c>
      <x:c r="B131" s="47" t="str">
        <x:v>일반</x:v>
      </x:c>
      <x:c r="C131" s="47" t="str">
        <x:v>오픈열람실2</x:v>
      </x:c>
      <x:c r="D131" s="47" t="str">
        <x:v>자유열람실1 AP</x:v>
      </x:c>
      <x:c r="E131" s="47" t="str">
        <x:v>고정</x:v>
      </x:c>
      <x:c r="F131" s="48" t="n">
        <x:v>60</x:v>
      </x:c>
      <x:c r="G131" s="48" t="n">
        <x:v>1</x:v>
      </x:c>
      <x:c r="H131" s="48" t="n">
        <x:v>2</x:v>
      </x:c>
      <x:c r="I131" s="49" t="n">
        <x:v>-79</x:v>
      </x:c>
      <x:c r="J131" s="49" t="n">
        <x:v>458.75</x:v>
      </x:c>
      <x:c r="K131" s="49" t="n">
        <x:v>35</x:v>
      </x:c>
      <x:c r="L131" s="49" t="n">
        <x:v>10</x:v>
      </x:c>
      <x:c r="M131" s="49" t="n">
        <x:v>0</x:v>
      </x:c>
      <x:c r="N131" s="49" t="n">
        <x:v>1.0387</x:v>
      </x:c>
      <x:c r="O131" s="49" t="n">
        <x:v>0.8373</x:v>
      </x:c>
      <x:c r="P131" s="49" t="n">
        <x:f>IF(OR(N131="",O131=""),"",2*N131*O131/(N131+O131))</x:f>
        <x:v>0.9271892430703625</x:v>
      </x:c>
      <x:c r="Q131" s="58" t="str">
        <x:v>1시간_측정_자유열람실1_오열에서_1.jpg; 1시간_측정_자유열람실1_오열에서_2.jpg</x:v>
      </x:c>
      <x:c r="R131" s="58" t="str">
        <x:v>기존 Excel 대응</x:v>
      </x:c>
      <x:c r="S131" s="59" t="str"/>
    </x:row>
    <x:row r="132" ht="15" hidden="0" customHeight="1">
      <x:c r="A132" s="46" t="str">
        <x:v>FREE1_1H_R1</x:v>
      </x:c>
      <x:c r="B132" s="47" t="str">
        <x:v>일반</x:v>
      </x:c>
      <x:c r="C132" s="47" t="str">
        <x:v>오픈열람실2</x:v>
      </x:c>
      <x:c r="D132" s="47" t="str">
        <x:v>자유열람실1 AP</x:v>
      </x:c>
      <x:c r="E132" s="47" t="str">
        <x:v>고정</x:v>
      </x:c>
      <x:c r="F132" s="48" t="n">
        <x:v>60</x:v>
      </x:c>
      <x:c r="G132" s="48" t="n">
        <x:v>1</x:v>
      </x:c>
      <x:c r="H132" s="48" t="n">
        <x:v>3</x:v>
      </x:c>
      <x:c r="I132" s="49" t="n">
        <x:v>-81</x:v>
      </x:c>
      <x:c r="J132" s="49" t="n">
        <x:v>458.75</x:v>
      </x:c>
      <x:c r="K132" s="49" t="n">
        <x:v>55</x:v>
      </x:c>
      <x:c r="L132" s="49" t="n">
        <x:v>30</x:v>
      </x:c>
      <x:c r="M132" s="49" t="n">
        <x:v>0</x:v>
      </x:c>
      <x:c r="N132" s="49" t="n">
        <x:v>0.6309</x:v>
      </x:c>
      <x:c r="O132" s="49" t="n">
        <x:v>0.4189</x:v>
      </x:c>
      <x:c r="P132" s="49" t="n">
        <x:f>IF(OR(N132="",O132=""),"",2*N132*O132/(N132+O132))</x:f>
        <x:v>0.5034940179081729</x:v>
      </x:c>
      <x:c r="Q132" s="58" t="str">
        <x:v>1시간_측정_자유열람실1_오열에서_1.jpg; 1시간_측정_자유열람실1_오열에서_2.jpg</x:v>
      </x:c>
      <x:c r="R132" s="58" t="str">
        <x:v>기존 Excel 대응</x:v>
      </x:c>
      <x:c r="S132" s="59" t="str"/>
    </x:row>
    <x:row r="133" ht="15" hidden="0" customHeight="1">
      <x:c r="A133" s="46" t="str">
        <x:v>FREE1_1H_R1</x:v>
      </x:c>
      <x:c r="B133" s="47" t="str">
        <x:v>일반</x:v>
      </x:c>
      <x:c r="C133" s="47" t="str">
        <x:v>오픈열람실2</x:v>
      </x:c>
      <x:c r="D133" s="47" t="str">
        <x:v>자유열람실1 AP</x:v>
      </x:c>
      <x:c r="E133" s="47" t="str">
        <x:v>고정</x:v>
      </x:c>
      <x:c r="F133" s="48" t="n">
        <x:v>60</x:v>
      </x:c>
      <x:c r="G133" s="48" t="n">
        <x:v>1</x:v>
      </x:c>
      <x:c r="H133" s="48" t="n">
        <x:v>4</x:v>
      </x:c>
      <x:c r="I133" s="49" t="n">
        <x:v>-78</x:v>
      </x:c>
      <x:c r="J133" s="49" t="n">
        <x:v>390</x:v>
      </x:c>
      <x:c r="K133" s="49" t="n">
        <x:v>69</x:v>
      </x:c>
      <x:c r="L133" s="49" t="n">
        <x:v>20</x:v>
      </x:c>
      <x:c r="M133" s="49" t="n">
        <x:v>0</x:v>
      </x:c>
      <x:c r="N133" s="49" t="n">
        <x:v>2.7165</x:v>
      </x:c>
      <x:c r="O133" s="49" t="n">
        <x:v>1.6756</x:v>
      </x:c>
      <x:c r="P133" s="49" t="n">
        <x:f>IF(OR(N133="",O133=""),"",2*N133*O133/(N133+O133))</x:f>
        <x:v>2.0727066323626513</x:v>
      </x:c>
      <x:c r="Q133" s="58" t="str">
        <x:v>1시간_측정_자유열람실1_오열에서_1.jpg; 1시간_측정_자유열람실1_오열에서_2.jpg</x:v>
      </x:c>
      <x:c r="R133" s="58" t="str">
        <x:v>기존 Excel 대응</x:v>
      </x:c>
      <x:c r="S133" s="59" t="str"/>
    </x:row>
    <x:row r="134" ht="15" hidden="0" customHeight="1">
      <x:c r="A134" s="46" t="str">
        <x:v>FREE1_1H_R1</x:v>
      </x:c>
      <x:c r="B134" s="47" t="str">
        <x:v>일반</x:v>
      </x:c>
      <x:c r="C134" s="47" t="str">
        <x:v>오픈열람실2</x:v>
      </x:c>
      <x:c r="D134" s="47" t="str">
        <x:v>자유열람실1 AP</x:v>
      </x:c>
      <x:c r="E134" s="47" t="str">
        <x:v>고정</x:v>
      </x:c>
      <x:c r="F134" s="48" t="n">
        <x:v>60</x:v>
      </x:c>
      <x:c r="G134" s="48" t="n">
        <x:v>1</x:v>
      </x:c>
      <x:c r="H134" s="48" t="n">
        <x:v>5</x:v>
      </x:c>
      <x:c r="I134" s="49" t="n">
        <x:v>-79</x:v>
      </x:c>
      <x:c r="J134" s="49" t="n">
        <x:v>390</x:v>
      </x:c>
      <x:c r="K134" s="49" t="n">
        <x:v>20</x:v>
      </x:c>
      <x:c r="L134" s="49" t="n">
        <x:v>23</x:v>
      </x:c>
      <x:c r="M134" s="49" t="n">
        <x:v>0</x:v>
      </x:c>
      <x:c r="N134" s="49" t="n">
        <x:v>8.189</x:v>
      </x:c>
      <x:c r="O134" s="49" t="n">
        <x:v>2.3011</x:v>
      </x:c>
      <x:c r="P134" s="49" t="n">
        <x:f>IF(OR(N134="",O134=""),"",2*N134*O134/(N134+O134))</x:f>
        <x:v>3.5926650651566714</x:v>
      </x:c>
      <x:c r="Q134" s="58" t="str">
        <x:v>1시간_측정_자유열람실1_오열에서_1.jpg; 1시간_측정_자유열람실1_오열에서_2.jpg</x:v>
      </x:c>
      <x:c r="R134" s="58" t="str">
        <x:v>기존 Excel 대응</x:v>
      </x:c>
      <x:c r="S134" s="59" t="str"/>
    </x:row>
    <x:row r="135" ht="15" hidden="0" customHeight="1">
      <x:c r="A135" s="46" t="str">
        <x:v>FREE1_1H_R1</x:v>
      </x:c>
      <x:c r="B135" s="47" t="str">
        <x:v>일반</x:v>
      </x:c>
      <x:c r="C135" s="47" t="str">
        <x:v>오픈열람실2</x:v>
      </x:c>
      <x:c r="D135" s="47" t="str">
        <x:v>자유열람실1 AP</x:v>
      </x:c>
      <x:c r="E135" s="47" t="str">
        <x:v>고정</x:v>
      </x:c>
      <x:c r="F135" s="48" t="n">
        <x:v>60</x:v>
      </x:c>
      <x:c r="G135" s="48" t="n">
        <x:v>1</x:v>
      </x:c>
      <x:c r="H135" s="48" t="n">
        <x:v>6</x:v>
      </x:c>
      <x:c r="I135" s="49" t="n">
        <x:v>-79</x:v>
      </x:c>
      <x:c r="J135" s="49" t="n">
        <x:v>458.75</x:v>
      </x:c>
      <x:c r="K135" s="49" t="n">
        <x:v>17</x:v>
      </x:c>
      <x:c r="L135" s="49" t="n">
        <x:v>4</x:v>
      </x:c>
      <x:c r="M135" s="49" t="n">
        <x:v>0</x:v>
      </x:c>
      <x:c r="N135" s="49" t="n">
        <x:v>3.9729</x:v>
      </x:c>
      <x:c r="O135" s="49" t="n">
        <x:v>1.2582</x:v>
      </x:c>
      <x:c r="P135" s="49" t="n">
        <x:f>IF(OR(N135="",O135=""),"",2*N135*O135/(N135+O135))</x:f>
        <x:v>1.9111478580030972</x:v>
      </x:c>
      <x:c r="Q135" s="58" t="str">
        <x:v>1시간_측정_자유열람실1_오열에서_1.jpg; 1시간_측정_자유열람실1_오열에서_2.jpg</x:v>
      </x:c>
      <x:c r="R135" s="58" t="str">
        <x:v>기존 Excel 대응</x:v>
      </x:c>
      <x:c r="S135" s="59" t="str"/>
    </x:row>
    <x:row r="136" ht="15" hidden="0" customHeight="1">
      <x:c r="A136" s="46" t="str">
        <x:v>FREE1_1H_R1</x:v>
      </x:c>
      <x:c r="B136" s="47" t="str">
        <x:v>일반</x:v>
      </x:c>
      <x:c r="C136" s="47" t="str">
        <x:v>오픈열람실2</x:v>
      </x:c>
      <x:c r="D136" s="47" t="str">
        <x:v>자유열람실1 AP</x:v>
      </x:c>
      <x:c r="E136" s="47" t="str">
        <x:v>고정</x:v>
      </x:c>
      <x:c r="F136" s="48" t="n">
        <x:v>60</x:v>
      </x:c>
      <x:c r="G136" s="48" t="n">
        <x:v>1</x:v>
      </x:c>
      <x:c r="H136" s="48" t="n">
        <x:v>7</x:v>
      </x:c>
      <x:c r="I136" s="49" t="n">
        <x:v>-76</x:v>
      </x:c>
      <x:c r="J136" s="49" t="n">
        <x:v>424.25</x:v>
      </x:c>
      <x:c r="K136" s="49" t="n">
        <x:v>21</x:v>
      </x:c>
      <x:c r="L136" s="49" t="n">
        <x:v>8</x:v>
      </x:c>
      <x:c r="M136" s="49" t="n">
        <x:v>0</x:v>
      </x:c>
      <x:c r="N136" s="49" t="n">
        <x:v>4.8178</x:v>
      </x:c>
      <x:c r="O136" s="49" t="n">
        <x:v>2.3048</x:v>
      </x:c>
      <x:c r="P136" s="49" t="n">
        <x:f>IF(OR(N136="",O136=""),"",2*N136*O136/(N136+O136))</x:f>
        <x:v>3.1179809170808417</x:v>
      </x:c>
      <x:c r="Q136" s="58" t="str">
        <x:v>1시간_측정_자유열람실1_오열에서_1.jpg; 1시간_측정_자유열람실1_오열에서_2.jpg</x:v>
      </x:c>
      <x:c r="R136" s="58" t="str">
        <x:v>기존 Excel 대응</x:v>
      </x:c>
      <x:c r="S136" s="59" t="str"/>
    </x:row>
    <x:row r="137" ht="15" hidden="0" customHeight="1">
      <x:c r="A137" s="46" t="str">
        <x:v>FREE1_1H_R1</x:v>
      </x:c>
      <x:c r="B137" s="47" t="str">
        <x:v>일반</x:v>
      </x:c>
      <x:c r="C137" s="47" t="str">
        <x:v>오픈열람실2</x:v>
      </x:c>
      <x:c r="D137" s="47" t="str">
        <x:v>자유열람실1 AP</x:v>
      </x:c>
      <x:c r="E137" s="47" t="str">
        <x:v>고정</x:v>
      </x:c>
      <x:c r="F137" s="48" t="n">
        <x:v>60</x:v>
      </x:c>
      <x:c r="G137" s="48" t="n">
        <x:v>1</x:v>
      </x:c>
      <x:c r="H137" s="48" t="n">
        <x:v>8</x:v>
      </x:c>
      <x:c r="I137" s="49" t="n">
        <x:v>-77</x:v>
      </x:c>
      <x:c r="J137" s="49" t="n">
        <x:v>390</x:v>
      </x:c>
      <x:c r="K137" s="49" t="n">
        <x:v>52</x:v>
      </x:c>
      <x:c r="L137" s="49" t="n">
        <x:v>5</x:v>
      </x:c>
      <x:c r="M137" s="49" t="n">
        <x:v>0</x:v>
      </x:c>
      <x:c r="N137" s="49" t="n">
        <x:v>2.0965</x:v>
      </x:c>
      <x:c r="O137" s="49" t="n">
        <x:v>2.3039</x:v>
      </x:c>
      <x:c r="P137" s="49" t="n">
        <x:f>IF(OR(N137="",O137=""),"",2*N137*O137/(N137+O137))</x:f>
        <x:v>2.195312403417871</x:v>
      </x:c>
      <x:c r="Q137" s="58" t="str">
        <x:v>1시간_측정_자유열람실1_오열에서_1.jpg; 1시간_측정_자유열람실1_오열에서_2.jpg</x:v>
      </x:c>
      <x:c r="R137" s="58" t="str">
        <x:v>기존 Excel 대응</x:v>
      </x:c>
      <x:c r="S137" s="59" t="str"/>
    </x:row>
    <x:row r="138" ht="15" hidden="0" customHeight="1">
      <x:c r="A138" s="46" t="str">
        <x:v>FREE1_1H_R1</x:v>
      </x:c>
      <x:c r="B138" s="47" t="str">
        <x:v>일반</x:v>
      </x:c>
      <x:c r="C138" s="47" t="str">
        <x:v>오픈열람실2</x:v>
      </x:c>
      <x:c r="D138" s="47" t="str">
        <x:v>자유열람실1 AP</x:v>
      </x:c>
      <x:c r="E138" s="47" t="str">
        <x:v>고정</x:v>
      </x:c>
      <x:c r="F138" s="48" t="n">
        <x:v>60</x:v>
      </x:c>
      <x:c r="G138" s="48" t="n">
        <x:v>1</x:v>
      </x:c>
      <x:c r="H138" s="48" t="n">
        <x:v>9</x:v>
      </x:c>
      <x:c r="I138" s="49" t="n">
        <x:v>-75</x:v>
      </x:c>
      <x:c r="J138" s="49" t="n">
        <x:v>424.25</x:v>
      </x:c>
      <x:c r="K138" s="49" t="n">
        <x:v>16</x:v>
      </x:c>
      <x:c r="L138" s="49" t="n">
        <x:v>7</x:v>
      </x:c>
      <x:c r="M138" s="49" t="n">
        <x:v>0</x:v>
      </x:c>
      <x:c r="N138" s="49" t="n">
        <x:v>10.4719</x:v>
      </x:c>
      <x:c r="O138" s="49" t="n">
        <x:v>2.3051</x:v>
      </x:c>
      <x:c r="P138" s="49" t="n">
        <x:f>IF(OR(N138="",O138=""),"",2*N138*O138/(N138+O138))</x:f>
        <x:v>3.77847330202708</x:v>
      </x:c>
      <x:c r="Q138" s="58" t="str">
        <x:v>1시간_측정_자유열람실1_오열에서_1.jpg; 1시간_측정_자유열람실1_오열에서_2.jpg</x:v>
      </x:c>
      <x:c r="R138" s="58" t="str">
        <x:v>기존 Excel 대응</x:v>
      </x:c>
      <x:c r="S138" s="59" t="str"/>
    </x:row>
    <x:row r="139" ht="15" hidden="0" customHeight="1">
      <x:c r="A139" s="46" t="str">
        <x:v>FREE1_1H_R1</x:v>
      </x:c>
      <x:c r="B139" s="47" t="str">
        <x:v>일반</x:v>
      </x:c>
      <x:c r="C139" s="47" t="str">
        <x:v>오픈열람실2</x:v>
      </x:c>
      <x:c r="D139" s="47" t="str">
        <x:v>자유열람실1 AP</x:v>
      </x:c>
      <x:c r="E139" s="47" t="str">
        <x:v>고정</x:v>
      </x:c>
      <x:c r="F139" s="48" t="n">
        <x:v>60</x:v>
      </x:c>
      <x:c r="G139" s="48" t="n">
        <x:v>1</x:v>
      </x:c>
      <x:c r="H139" s="48" t="n">
        <x:v>10</x:v>
      </x:c>
      <x:c r="I139" s="49" t="n">
        <x:v>-75</x:v>
      </x:c>
      <x:c r="J139" s="49" t="n">
        <x:v>424.25</x:v>
      </x:c>
      <x:c r="K139" s="49" t="n">
        <x:v>20</x:v>
      </x:c>
      <x:c r="L139" s="49" t="n">
        <x:v>6</x:v>
      </x:c>
      <x:c r="M139" s="49" t="n">
        <x:v>0</x:v>
      </x:c>
      <x:c r="N139" s="49" t="n">
        <x:v>5.647</x:v>
      </x:c>
      <x:c r="O139" s="49" t="n">
        <x:v>1.4655</x:v>
      </x:c>
      <x:c r="P139" s="49" t="n">
        <x:f>IF(OR(N139="",O139=""),"",2*N139*O139/(N139+O139))</x:f>
        <x:v>2.3270800702987695</x:v>
      </x:c>
      <x:c r="Q139" s="58" t="str">
        <x:v>1시간_측정_자유열람실1_오열에서_1.jpg; 1시간_측정_자유열람실1_오열에서_2.jpg</x:v>
      </x:c>
      <x:c r="R139" s="58" t="str">
        <x:v>기존 Excel 대응</x:v>
      </x:c>
      <x:c r="S139" s="59" t="str"/>
    </x:row>
    <x:row r="140" ht="15" hidden="0" customHeight="1">
      <x:c r="A140" s="46" t="str">
        <x:v>FREE1_1H_R1</x:v>
      </x:c>
      <x:c r="B140" s="47" t="str">
        <x:v>일반</x:v>
      </x:c>
      <x:c r="C140" s="47" t="str">
        <x:v>오픈열람실2</x:v>
      </x:c>
      <x:c r="D140" s="47" t="str">
        <x:v>자유열람실1 AP</x:v>
      </x:c>
      <x:c r="E140" s="47" t="str">
        <x:v>고정</x:v>
      </x:c>
      <x:c r="F140" s="48" t="n">
        <x:v>60</x:v>
      </x:c>
      <x:c r="G140" s="48" t="n">
        <x:v>1</x:v>
      </x:c>
      <x:c r="H140" s="48" t="n">
        <x:v>11</x:v>
      </x:c>
      <x:c r="I140" s="49" t="n">
        <x:v>-78</x:v>
      </x:c>
      <x:c r="J140" s="49" t="n">
        <x:v>458.75</x:v>
      </x:c>
      <x:c r="K140" s="49" t="n">
        <x:v>16</x:v>
      </x:c>
      <x:c r="L140" s="49" t="n">
        <x:v>5</x:v>
      </x:c>
      <x:c r="M140" s="49" t="n">
        <x:v>0</x:v>
      </x:c>
      <x:c r="N140" s="49" t="n">
        <x:v>4.3948</x:v>
      </x:c>
      <x:c r="O140" s="49" t="n">
        <x:v>1.4639</x:v>
      </x:c>
      <x:c r="P140" s="49" t="n">
        <x:f>IF(OR(N140="",O140=""),"",2*N140*O140/(N140+O140))</x:f>
        <x:v>2.1962372949630464</x:v>
      </x:c>
      <x:c r="Q140" s="58" t="str">
        <x:v>1시간_측정_자유열람실1_오열에서_1.jpg; 1시간_측정_자유열람실1_오열에서_2.jpg</x:v>
      </x:c>
      <x:c r="R140" s="58" t="str">
        <x:v>기존 Excel 대응</x:v>
      </x:c>
      <x:c r="S140" s="59" t="str"/>
    </x:row>
    <x:row r="141" ht="15" hidden="0" customHeight="1">
      <x:c r="A141" s="46" t="str">
        <x:v>FREE1_1H_R1</x:v>
      </x:c>
      <x:c r="B141" s="47" t="str">
        <x:v>일반</x:v>
      </x:c>
      <x:c r="C141" s="47" t="str">
        <x:v>오픈열람실2</x:v>
      </x:c>
      <x:c r="D141" s="47" t="str">
        <x:v>자유열람실1 AP</x:v>
      </x:c>
      <x:c r="E141" s="47" t="str">
        <x:v>고정</x:v>
      </x:c>
      <x:c r="F141" s="48" t="n">
        <x:v>60</x:v>
      </x:c>
      <x:c r="G141" s="48" t="n">
        <x:v>1</x:v>
      </x:c>
      <x:c r="H141" s="48" t="n">
        <x:v>12</x:v>
      </x:c>
      <x:c r="I141" s="49" t="n">
        <x:v>-76</x:v>
      </x:c>
      <x:c r="J141" s="49" t="n">
        <x:v>390</x:v>
      </x:c>
      <x:c r="K141" s="49" t="n">
        <x:v>17</x:v>
      </x:c>
      <x:c r="L141" s="49" t="n">
        <x:v>6</x:v>
      </x:c>
      <x:c r="M141" s="49" t="n">
        <x:v>0</x:v>
      </x:c>
      <x:c r="N141" s="49" t="n">
        <x:v>7.3162</x:v>
      </x:c>
      <x:c r="O141" s="49" t="n">
        <x:v>5.2392</x:v>
      </x:c>
      <x:c r="P141" s="49" t="n">
        <x:f>IF(OR(N141="",O141=""),"",2*N141*O141/(N141+O141))</x:f>
        <x:v>6.1059042388135785</x:v>
      </x:c>
      <x:c r="Q141" s="58" t="str">
        <x:v>1시간_측정_자유열람실1_오열에서_1.jpg; 1시간_측정_자유열람실1_오열에서_2.jpg</x:v>
      </x:c>
      <x:c r="R141" s="58" t="str">
        <x:v>기존 Excel 대응</x:v>
      </x:c>
      <x:c r="S141" s="59" t="str"/>
    </x:row>
    <x:row r="142" ht="15" hidden="0" customHeight="1">
      <x:c r="A142" s="46" t="str">
        <x:v>FREE1_1H_R1</x:v>
      </x:c>
      <x:c r="B142" s="47" t="str">
        <x:v>일반</x:v>
      </x:c>
      <x:c r="C142" s="47" t="str">
        <x:v>오픈열람실2</x:v>
      </x:c>
      <x:c r="D142" s="47" t="str">
        <x:v>자유열람실1 AP</x:v>
      </x:c>
      <x:c r="E142" s="47" t="str">
        <x:v>고정</x:v>
      </x:c>
      <x:c r="F142" s="48" t="n">
        <x:v>60</x:v>
      </x:c>
      <x:c r="G142" s="48" t="n">
        <x:v>1</x:v>
      </x:c>
      <x:c r="H142" s="48" t="n">
        <x:v>13</x:v>
      </x:c>
      <x:c r="I142" s="49" t="n">
        <x:v>-79</x:v>
      </x:c>
      <x:c r="J142" s="49" t="n">
        <x:v>458.75</x:v>
      </x:c>
      <x:c r="K142" s="49" t="n">
        <x:v>21</x:v>
      </x:c>
      <x:c r="L142" s="49" t="n">
        <x:v>7</x:v>
      </x:c>
      <x:c r="M142" s="49" t="n">
        <x:v>0</x:v>
      </x:c>
      <x:c r="N142" s="49" t="n">
        <x:v>5.8466</x:v>
      </x:c>
      <x:c r="O142" s="49" t="n">
        <x:v>1.8895</x:v>
      </x:c>
      <x:c r="P142" s="49" t="n">
        <x:f>IF(OR(N142="",O142=""),"",2*N142*O142/(N142+O142))</x:f>
        <x:v>2.85599997414718</x:v>
      </x:c>
      <x:c r="Q142" s="58" t="str">
        <x:v>1시간_측정_자유열람실1_오열에서_1.jpg; 1시간_측정_자유열람실1_오열에서_2.jpg</x:v>
      </x:c>
      <x:c r="R142" s="58" t="str">
        <x:v>기존 Excel 대응</x:v>
      </x:c>
      <x:c r="S142" s="59" t="str"/>
    </x:row>
    <x:row r="143" ht="15" hidden="0" customHeight="1">
      <x:c r="A143" s="46" t="str">
        <x:v>FREE1_1H_R1</x:v>
      </x:c>
      <x:c r="B143" s="47" t="str">
        <x:v>일반</x:v>
      </x:c>
      <x:c r="C143" s="47" t="str">
        <x:v>오픈열람실2</x:v>
      </x:c>
      <x:c r="D143" s="47" t="str">
        <x:v>자유열람실1 AP</x:v>
      </x:c>
      <x:c r="E143" s="47" t="str">
        <x:v>고정</x:v>
      </x:c>
      <x:c r="F143" s="48" t="n">
        <x:v>60</x:v>
      </x:c>
      <x:c r="G143" s="48" t="n">
        <x:v>1</x:v>
      </x:c>
      <x:c r="H143" s="48" t="n">
        <x:v>14</x:v>
      </x:c>
      <x:c r="I143" s="49" t="n">
        <x:v>-80</x:v>
      </x:c>
      <x:c r="J143" s="49" t="n">
        <x:v>458.75</x:v>
      </x:c>
      <x:c r="K143" s="49" t="n">
        <x:v>15</x:v>
      </x:c>
      <x:c r="L143" s="49" t="n">
        <x:v>6</x:v>
      </x:c>
      <x:c r="M143" s="49" t="n">
        <x:v>0</x:v>
      </x:c>
      <x:c r="N143" s="49" t="n">
        <x:v>2.5127</x:v>
      </x:c>
      <x:c r="O143" s="49" t="n">
        <x:v>2.936</x:v>
      </x:c>
      <x:c r="P143" s="49" t="n">
        <x:f>IF(OR(N143="",O143=""),"",2*N143*O143/(N143+O143))</x:f>
        <x:v>2.707907280635748</x:v>
      </x:c>
      <x:c r="Q143" s="58" t="str">
        <x:v>1시간_측정_자유열람실1_오열에서_1.jpg; 1시간_측정_자유열람실1_오열에서_2.jpg</x:v>
      </x:c>
      <x:c r="R143" s="58" t="str">
        <x:v>기존 Excel 대응</x:v>
      </x:c>
      <x:c r="S143" s="59" t="str"/>
    </x:row>
    <x:row r="144" ht="15" hidden="0" customHeight="1">
      <x:c r="A144" s="46" t="str">
        <x:v>FREE1_1H_R1</x:v>
      </x:c>
      <x:c r="B144" s="47" t="str">
        <x:v>일반</x:v>
      </x:c>
      <x:c r="C144" s="47" t="str">
        <x:v>오픈열람실2</x:v>
      </x:c>
      <x:c r="D144" s="47" t="str">
        <x:v>자유열람실1 AP</x:v>
      </x:c>
      <x:c r="E144" s="47" t="str">
        <x:v>고정</x:v>
      </x:c>
      <x:c r="F144" s="48" t="n">
        <x:v>60</x:v>
      </x:c>
      <x:c r="G144" s="48" t="n">
        <x:v>1</x:v>
      </x:c>
      <x:c r="H144" s="48" t="n">
        <x:v>15</x:v>
      </x:c>
      <x:c r="I144" s="49" t="n">
        <x:v>-80</x:v>
      </x:c>
      <x:c r="J144" s="49" t="n">
        <x:v>458.75</x:v>
      </x:c>
      <x:c r="K144" s="49" t="n">
        <x:v>21</x:v>
      </x:c>
      <x:c r="L144" s="49" t="n">
        <x:v>4</x:v>
      </x:c>
      <x:c r="M144" s="49" t="n">
        <x:v>0</x:v>
      </x:c>
      <x:c r="N144" s="49" t="n">
        <x:v>4.1887</x:v>
      </x:c>
      <x:c r="O144" s="49" t="n">
        <x:v>3.7687</x:v>
      </x:c>
      <x:c r="P144" s="49" t="n">
        <x:f>IF(OR(N144="",O144=""),"",2*N144*O144/(N144+O144))</x:f>
        <x:v>3.967615977580617</x:v>
      </x:c>
      <x:c r="Q144" s="58" t="str">
        <x:v>1시간_측정_자유열람실1_오열에서_1.jpg; 1시간_측정_자유열람실1_오열에서_2.jpg</x:v>
      </x:c>
      <x:c r="R144" s="58" t="str">
        <x:v>기존 Excel 대응</x:v>
      </x:c>
      <x:c r="S144" s="59" t="str"/>
    </x:row>
    <x:row r="145" ht="15" hidden="0" customHeight="1">
      <x:c r="A145" s="46" t="str">
        <x:v>FREE1_1H_R1</x:v>
      </x:c>
      <x:c r="B145" s="47" t="str">
        <x:v>일반</x:v>
      </x:c>
      <x:c r="C145" s="47" t="str">
        <x:v>오픈열람실2</x:v>
      </x:c>
      <x:c r="D145" s="47" t="str">
        <x:v>자유열람실1 AP</x:v>
      </x:c>
      <x:c r="E145" s="47" t="str">
        <x:v>고정</x:v>
      </x:c>
      <x:c r="F145" s="48" t="n">
        <x:v>60</x:v>
      </x:c>
      <x:c r="G145" s="48" t="n">
        <x:v>1</x:v>
      </x:c>
      <x:c r="H145" s="48" t="n">
        <x:v>16</x:v>
      </x:c>
      <x:c r="I145" s="49" t="n">
        <x:v>-79</x:v>
      </x:c>
      <x:c r="J145" s="49" t="n">
        <x:v>458.75</x:v>
      </x:c>
      <x:c r="K145" s="49" t="n">
        <x:v>31</x:v>
      </x:c>
      <x:c r="L145" s="49" t="n">
        <x:v>7</x:v>
      </x:c>
      <x:c r="M145" s="49" t="n">
        <x:v>0</x:v>
      </x:c>
      <x:c r="N145" s="49" t="n">
        <x:v>2.927</x:v>
      </x:c>
      <x:c r="O145" s="49" t="n">
        <x:v>3.1411</x:v>
      </x:c>
      <x:c r="P145" s="49" t="n">
        <x:f>IF(OR(N145="",O145=""),"",2*N145*O145/(N145+O145))</x:f>
        <x:v>3.030272968474481</x:v>
      </x:c>
      <x:c r="Q145" s="58" t="str">
        <x:v>1시간_측정_자유열람실1_오열에서_1.jpg; 1시간_측정_자유열람실1_오열에서_2.jpg</x:v>
      </x:c>
      <x:c r="R145" s="58" t="str">
        <x:v>기존 Excel 대응</x:v>
      </x:c>
      <x:c r="S145" s="59" t="str"/>
    </x:row>
    <x:row r="146" ht="15" hidden="0" customHeight="1">
      <x:c r="A146" s="46" t="str">
        <x:v>FREE1_1H_R1</x:v>
      </x:c>
      <x:c r="B146" s="47" t="str">
        <x:v>일반</x:v>
      </x:c>
      <x:c r="C146" s="47" t="str">
        <x:v>오픈열람실2</x:v>
      </x:c>
      <x:c r="D146" s="47" t="str">
        <x:v>자유열람실1 AP</x:v>
      </x:c>
      <x:c r="E146" s="47" t="str">
        <x:v>고정</x:v>
      </x:c>
      <x:c r="F146" s="48" t="n">
        <x:v>60</x:v>
      </x:c>
      <x:c r="G146" s="48" t="n">
        <x:v>1</x:v>
      </x:c>
      <x:c r="H146" s="48" t="n">
        <x:v>17</x:v>
      </x:c>
      <x:c r="I146" s="49" t="n">
        <x:v>-77</x:v>
      </x:c>
      <x:c r="J146" s="49" t="n">
        <x:v>458.75</x:v>
      </x:c>
      <x:c r="K146" s="49" t="n">
        <x:v>19</x:v>
      </x:c>
      <x:c r="L146" s="49" t="n">
        <x:v>8</x:v>
      </x:c>
      <x:c r="M146" s="49" t="n">
        <x:v>0</x:v>
      </x:c>
      <x:c r="N146" s="49" t="n">
        <x:v>5.4417</x:v>
      </x:c>
      <x:c r="O146" s="49" t="n">
        <x:v>3.3498</x:v>
      </x:c>
      <x:c r="P146" s="49" t="n">
        <x:f>IF(OR(N146="",O146=""),"",2*N146*O146/(N146+O146))</x:f>
        <x:v>4.146870650059717</x:v>
      </x:c>
      <x:c r="Q146" s="58" t="str">
        <x:v>1시간_측정_자유열람실1_오열에서_1.jpg; 1시간_측정_자유열람실1_오열에서_2.jpg</x:v>
      </x:c>
      <x:c r="R146" s="58" t="str">
        <x:v>기존 Excel 대응</x:v>
      </x:c>
      <x:c r="S146" s="59" t="str"/>
    </x:row>
    <x:row r="147" ht="15" hidden="0" customHeight="1">
      <x:c r="A147" s="46" t="str">
        <x:v>FREE1_1H_R1</x:v>
      </x:c>
      <x:c r="B147" s="47" t="str">
        <x:v>일반</x:v>
      </x:c>
      <x:c r="C147" s="47" t="str">
        <x:v>오픈열람실2</x:v>
      </x:c>
      <x:c r="D147" s="47" t="str">
        <x:v>자유열람실1 AP</x:v>
      </x:c>
      <x:c r="E147" s="47" t="str">
        <x:v>고정</x:v>
      </x:c>
      <x:c r="F147" s="48" t="n">
        <x:v>60</x:v>
      </x:c>
      <x:c r="G147" s="48" t="n">
        <x:v>1</x:v>
      </x:c>
      <x:c r="H147" s="48" t="n">
        <x:v>18</x:v>
      </x:c>
      <x:c r="I147" s="49" t="n">
        <x:v>-78</x:v>
      </x:c>
      <x:c r="J147" s="49" t="n">
        <x:v>458.75</x:v>
      </x:c>
      <x:c r="K147" s="49" t="n">
        <x:v>25</x:v>
      </x:c>
      <x:c r="L147" s="49" t="n">
        <x:v>6</x:v>
      </x:c>
      <x:c r="M147" s="49" t="n">
        <x:v>0</x:v>
      </x:c>
      <x:c r="N147" s="49" t="n">
        <x:v>3.1356</x:v>
      </x:c>
      <x:c r="O147" s="49" t="n">
        <x:v>2.5102</x:v>
      </x:c>
      <x:c r="P147" s="49" t="n">
        <x:f>IF(OR(N147="",O147=""),"",2*N147*O147/(N147+O147))</x:f>
        <x:v>2.788261404938184</x:v>
      </x:c>
      <x:c r="Q147" s="58" t="str">
        <x:v>1시간_측정_자유열람실1_오열에서_1.jpg; 1시간_측정_자유열람실1_오열에서_2.jpg</x:v>
      </x:c>
      <x:c r="R147" s="58" t="str">
        <x:v>기존 Excel 대응</x:v>
      </x:c>
      <x:c r="S147" s="59" t="str"/>
    </x:row>
    <x:row r="148" ht="15" hidden="0" customHeight="1">
      <x:c r="A148" s="46" t="str">
        <x:v>FREE1_1H_R1</x:v>
      </x:c>
      <x:c r="B148" s="47" t="str">
        <x:v>일반</x:v>
      </x:c>
      <x:c r="C148" s="47" t="str">
        <x:v>오픈열람실2</x:v>
      </x:c>
      <x:c r="D148" s="47" t="str">
        <x:v>자유열람실1 AP</x:v>
      </x:c>
      <x:c r="E148" s="47" t="str">
        <x:v>고정</x:v>
      </x:c>
      <x:c r="F148" s="48" t="n">
        <x:v>60</x:v>
      </x:c>
      <x:c r="G148" s="48" t="n">
        <x:v>1</x:v>
      </x:c>
      <x:c r="H148" s="48" t="n">
        <x:v>19</x:v>
      </x:c>
      <x:c r="I148" s="49" t="n">
        <x:v>-78</x:v>
      </x:c>
      <x:c r="J148" s="49" t="n">
        <x:v>458.75</x:v>
      </x:c>
      <x:c r="K148" s="49" t="n">
        <x:v>42</x:v>
      </x:c>
      <x:c r="L148" s="49" t="n">
        <x:v>6</x:v>
      </x:c>
      <x:c r="M148" s="49" t="n">
        <x:v>0</x:v>
      </x:c>
      <x:c r="N148" s="49" t="n">
        <x:v>5.2149</x:v>
      </x:c>
      <x:c r="O148" s="49" t="n">
        <x:v>2.0896</x:v>
      </x:c>
      <x:c r="P148" s="49" t="n">
        <x:f>IF(OR(N148="",O148=""),"",2*N148*O148/(N148+O148))</x:f>
        <x:v>2.9836552919433226</x:v>
      </x:c>
      <x:c r="Q148" s="58" t="str">
        <x:v>1시간_측정_자유열람실1_오열에서_1.jpg; 1시간_측정_자유열람실1_오열에서_2.jpg</x:v>
      </x:c>
      <x:c r="R148" s="58" t="str">
        <x:v>기존 Excel 대응</x:v>
      </x:c>
      <x:c r="S148" s="59" t="str"/>
    </x:row>
    <x:row r="149" ht="15" hidden="0" customHeight="1">
      <x:c r="A149" s="46" t="str">
        <x:v>FREE1_1H_R1</x:v>
      </x:c>
      <x:c r="B149" s="47" t="str">
        <x:v>일반</x:v>
      </x:c>
      <x:c r="C149" s="47" t="str">
        <x:v>오픈열람실2</x:v>
      </x:c>
      <x:c r="D149" s="47" t="str">
        <x:v>자유열람실1 AP</x:v>
      </x:c>
      <x:c r="E149" s="47" t="str">
        <x:v>고정</x:v>
      </x:c>
      <x:c r="F149" s="48" t="n">
        <x:v>60</x:v>
      </x:c>
      <x:c r="G149" s="48" t="n">
        <x:v>1</x:v>
      </x:c>
      <x:c r="H149" s="48" t="n">
        <x:v>20</x:v>
      </x:c>
      <x:c r="I149" s="49" t="n">
        <x:v>-77</x:v>
      </x:c>
      <x:c r="J149" s="49" t="n">
        <x:v>390</x:v>
      </x:c>
      <x:c r="K149" s="49" t="n">
        <x:v>40</x:v>
      </x:c>
      <x:c r="L149" s="49" t="n">
        <x:v>4</x:v>
      </x:c>
      <x:c r="M149" s="49" t="n">
        <x:v>0</x:v>
      </x:c>
      <x:c r="N149" s="49" t="n">
        <x:v>2.7226</x:v>
      </x:c>
      <x:c r="O149" s="49" t="n">
        <x:v>3.1387</x:v>
      </x:c>
      <x:c r="P149" s="49" t="n">
        <x:f>IF(OR(N149="",O149=""),"",2*N149*O149/(N149+O149))</x:f>
        <x:v>2.9158803064166654</x:v>
      </x:c>
      <x:c r="Q149" s="58" t="str">
        <x:v>1시간_측정_자유열람실1_오열에서_1.jpg; 1시간_측정_자유열람실1_오열에서_2.jpg</x:v>
      </x:c>
      <x:c r="R149" s="58" t="str">
        <x:v>기존 Excel 대응</x:v>
      </x:c>
      <x:c r="S149" s="59" t="str"/>
    </x:row>
    <x:row r="150" ht="15" hidden="0" customHeight="1">
      <x:c r="A150" s="46" t="str">
        <x:v>FREE1_1H_R1</x:v>
      </x:c>
      <x:c r="B150" s="47" t="str">
        <x:v>일반</x:v>
      </x:c>
      <x:c r="C150" s="47" t="str">
        <x:v>오픈열람실2</x:v>
      </x:c>
      <x:c r="D150" s="47" t="str">
        <x:v>자유열람실1 AP</x:v>
      </x:c>
      <x:c r="E150" s="47" t="str">
        <x:v>고정</x:v>
      </x:c>
      <x:c r="F150" s="48" t="n">
        <x:v>60</x:v>
      </x:c>
      <x:c r="G150" s="48" t="n">
        <x:v>1</x:v>
      </x:c>
      <x:c r="H150" s="48" t="n">
        <x:v>21</x:v>
      </x:c>
      <x:c r="I150" s="49" t="n">
        <x:v>-76</x:v>
      </x:c>
      <x:c r="J150" s="49" t="n">
        <x:v>390</x:v>
      </x:c>
      <x:c r="K150" s="49" t="n">
        <x:v>27</x:v>
      </x:c>
      <x:c r="L150" s="49" t="n">
        <x:v>10</x:v>
      </x:c>
      <x:c r="M150" s="49" t="n">
        <x:v>0</x:v>
      </x:c>
      <x:c r="N150" s="49" t="n">
        <x:v>7.1127</x:v>
      </x:c>
      <x:c r="O150" s="49" t="n">
        <x:v>2.9299</x:v>
      </x:c>
      <x:c r="P150" s="49" t="n">
        <x:f>IF(OR(N150="",O150=""),"",2*N150*O150/(N150+O150))</x:f>
        <x:v>4.150220008762671</x:v>
      </x:c>
      <x:c r="Q150" s="58" t="str">
        <x:v>1시간_측정_자유열람실1_오열에서_1.jpg; 1시간_측정_자유열람실1_오열에서_2.jpg</x:v>
      </x:c>
      <x:c r="R150" s="58" t="str">
        <x:v>기존 Excel 대응</x:v>
      </x:c>
      <x:c r="S150" s="59" t="str"/>
    </x:row>
    <x:row r="151" ht="15" hidden="0" customHeight="1">
      <x:c r="A151" s="46" t="str">
        <x:v>FREE1_1H_R1</x:v>
      </x:c>
      <x:c r="B151" s="47" t="str">
        <x:v>일반</x:v>
      </x:c>
      <x:c r="C151" s="47" t="str">
        <x:v>오픈열람실2</x:v>
      </x:c>
      <x:c r="D151" s="47" t="str">
        <x:v>자유열람실1 AP</x:v>
      </x:c>
      <x:c r="E151" s="47" t="str">
        <x:v>고정</x:v>
      </x:c>
      <x:c r="F151" s="48" t="n">
        <x:v>60</x:v>
      </x:c>
      <x:c r="G151" s="48" t="n">
        <x:v>1</x:v>
      </x:c>
      <x:c r="H151" s="48" t="n">
        <x:v>22</x:v>
      </x:c>
      <x:c r="I151" s="49" t="n">
        <x:v>-75</x:v>
      </x:c>
      <x:c r="J151" s="49" t="n">
        <x:v>390</x:v>
      </x:c>
      <x:c r="K151" s="49" t="n">
        <x:v>31</x:v>
      </x:c>
      <x:c r="L151" s="49" t="n">
        <x:v>10</x:v>
      </x:c>
      <x:c r="M151" s="49" t="n">
        <x:v>0</x:v>
      </x:c>
      <x:c r="N151" s="49" t="n">
        <x:v>7.3285</x:v>
      </x:c>
      <x:c r="O151" s="49" t="n">
        <x:v>2.5136</x:v>
      </x:c>
      <x:c r="P151" s="49" t="n">
        <x:f>IF(OR(N151="",O151=""),"",2*N151*O151/(N151+O151))</x:f>
        <x:v>3.7432900702085936</x:v>
      </x:c>
      <x:c r="Q151" s="58" t="str">
        <x:v>1시간_측정_자유열람실1_오열에서_1.jpg; 1시간_측정_자유열람실1_오열에서_2.jpg</x:v>
      </x:c>
      <x:c r="R151" s="58" t="str">
        <x:v>기존 Excel 대응</x:v>
      </x:c>
      <x:c r="S151" s="59" t="str"/>
    </x:row>
    <x:row r="152" ht="15" hidden="0" customHeight="1">
      <x:c r="A152" s="46" t="str">
        <x:v>FREE1_1H_R1</x:v>
      </x:c>
      <x:c r="B152" s="47" t="str">
        <x:v>일반</x:v>
      </x:c>
      <x:c r="C152" s="47" t="str">
        <x:v>오픈열람실2</x:v>
      </x:c>
      <x:c r="D152" s="47" t="str">
        <x:v>자유열람실1 AP</x:v>
      </x:c>
      <x:c r="E152" s="47" t="str">
        <x:v>고정</x:v>
      </x:c>
      <x:c r="F152" s="48" t="n">
        <x:v>60</x:v>
      </x:c>
      <x:c r="G152" s="48" t="n">
        <x:v>1</x:v>
      </x:c>
      <x:c r="H152" s="48" t="n">
        <x:v>23</x:v>
      </x:c>
      <x:c r="I152" s="49" t="n">
        <x:v>-77</x:v>
      </x:c>
      <x:c r="J152" s="49" t="n">
        <x:v>390</x:v>
      </x:c>
      <x:c r="K152" s="49" t="n">
        <x:v>26</x:v>
      </x:c>
      <x:c r="L152" s="49" t="n">
        <x:v>7</x:v>
      </x:c>
      <x:c r="M152" s="49" t="n">
        <x:v>0</x:v>
      </x:c>
      <x:c r="N152" s="49" t="n">
        <x:v>7.7104</x:v>
      </x:c>
      <x:c r="O152" s="49" t="n">
        <x:v>2.5156</x:v>
      </x:c>
      <x:c r="P152" s="49" t="n">
        <x:f>IF(OR(N152="",O152=""),"",2*N152*O152/(N152+O152))</x:f>
        <x:v>3.7935228319968712</x:v>
      </x:c>
      <x:c r="Q152" s="58" t="str">
        <x:v>1시간_측정_자유열람실1_오열에서_1.jpg; 1시간_측정_자유열람실1_오열에서_2.jpg</x:v>
      </x:c>
      <x:c r="R152" s="58" t="str">
        <x:v>기존 Excel 대응</x:v>
      </x:c>
      <x:c r="S152" s="59" t="str"/>
    </x:row>
    <x:row r="153" ht="15" hidden="0" customHeight="1">
      <x:c r="A153" s="46" t="str">
        <x:v>FREE1_1H_R1</x:v>
      </x:c>
      <x:c r="B153" s="47" t="str">
        <x:v>일반</x:v>
      </x:c>
      <x:c r="C153" s="47" t="str">
        <x:v>오픈열람실2</x:v>
      </x:c>
      <x:c r="D153" s="47" t="str">
        <x:v>자유열람실1 AP</x:v>
      </x:c>
      <x:c r="E153" s="47" t="str">
        <x:v>고정</x:v>
      </x:c>
      <x:c r="F153" s="48" t="n">
        <x:v>60</x:v>
      </x:c>
      <x:c r="G153" s="48" t="n">
        <x:v>1</x:v>
      </x:c>
      <x:c r="H153" s="48" t="n">
        <x:v>24</x:v>
      </x:c>
      <x:c r="I153" s="49" t="n">
        <x:v>-78</x:v>
      </x:c>
      <x:c r="J153" s="49" t="n">
        <x:v>458.75</x:v>
      </x:c>
      <x:c r="K153" s="49" t="n">
        <x:v>43</x:v>
      </x:c>
      <x:c r="L153" s="49" t="n">
        <x:v>4</x:v>
      </x:c>
      <x:c r="M153" s="49" t="n">
        <x:v>0</x:v>
      </x:c>
      <x:c r="N153" s="49" t="n">
        <x:v>5.0233</x:v>
      </x:c>
      <x:c r="O153" s="49" t="n">
        <x:v>2.3026</x:v>
      </x:c>
      <x:c r="P153" s="49" t="n">
        <x:f>IF(OR(N153="",O153=""),"",2*N153*O153/(N153+O153))</x:f>
        <x:v>3.1577418692583845</x:v>
      </x:c>
      <x:c r="Q153" s="58" t="str">
        <x:v>1시간_측정_자유열람실1_오열에서_1.jpg; 1시간_측정_자유열람실1_오열에서_2.jpg</x:v>
      </x:c>
      <x:c r="R153" s="58" t="str">
        <x:v>기존 Excel 대응</x:v>
      </x:c>
      <x:c r="S153" s="59" t="str"/>
    </x:row>
    <x:row r="154" ht="15" hidden="0" customHeight="1">
      <x:c r="A154" s="46" t="str">
        <x:v>FREE1_1H_R1</x:v>
      </x:c>
      <x:c r="B154" s="47" t="str">
        <x:v>일반</x:v>
      </x:c>
      <x:c r="C154" s="47" t="str">
        <x:v>오픈열람실2</x:v>
      </x:c>
      <x:c r="D154" s="47" t="str">
        <x:v>자유열람실1 AP</x:v>
      </x:c>
      <x:c r="E154" s="47" t="str">
        <x:v>고정</x:v>
      </x:c>
      <x:c r="F154" s="48" t="n">
        <x:v>60</x:v>
      </x:c>
      <x:c r="G154" s="48" t="n">
        <x:v>1</x:v>
      </x:c>
      <x:c r="H154" s="48" t="n">
        <x:v>25</x:v>
      </x:c>
      <x:c r="I154" s="49" t="n">
        <x:v>-77</x:v>
      </x:c>
      <x:c r="J154" s="49" t="n">
        <x:v>390</x:v>
      </x:c>
      <x:c r="K154" s="49" t="n">
        <x:v>32</x:v>
      </x:c>
      <x:c r="L154" s="49" t="n">
        <x:v>8</x:v>
      </x:c>
      <x:c r="M154" s="49" t="n">
        <x:v>0</x:v>
      </x:c>
      <x:c r="N154" s="49" t="n">
        <x:v>1.8831</x:v>
      </x:c>
      <x:c r="O154" s="49" t="n">
        <x:v>1.4658</x:v>
      </x:c>
      <x:c r="P154" s="49" t="n">
        <x:f>IF(OR(N154="",O154=""),"",2*N154*O154/(N154+O154))</x:f>
        <x:v>1.648450524052674</x:v>
      </x:c>
      <x:c r="Q154" s="58" t="str">
        <x:v>1시간_측정_자유열람실1_오열에서_1.jpg; 1시간_측정_자유열람실1_오열에서_2.jpg</x:v>
      </x:c>
      <x:c r="R154" s="58" t="str">
        <x:v>기존 Excel 대응</x:v>
      </x:c>
      <x:c r="S154" s="59" t="str"/>
    </x:row>
    <x:row r="155" ht="15" hidden="0" customHeight="1">
      <x:c r="A155" s="46" t="str">
        <x:v>FREE1_1H_R1</x:v>
      </x:c>
      <x:c r="B155" s="47" t="str">
        <x:v>일반</x:v>
      </x:c>
      <x:c r="C155" s="47" t="str">
        <x:v>오픈열람실2</x:v>
      </x:c>
      <x:c r="D155" s="47" t="str">
        <x:v>자유열람실1 AP</x:v>
      </x:c>
      <x:c r="E155" s="47" t="str">
        <x:v>고정</x:v>
      </x:c>
      <x:c r="F155" s="48" t="n">
        <x:v>60</x:v>
      </x:c>
      <x:c r="G155" s="48" t="n">
        <x:v>1</x:v>
      </x:c>
      <x:c r="H155" s="48" t="n">
        <x:v>26</x:v>
      </x:c>
      <x:c r="I155" s="49" t="n">
        <x:v>-78</x:v>
      </x:c>
      <x:c r="J155" s="49" t="n">
        <x:v>458.75</x:v>
      </x:c>
      <x:c r="K155" s="49" t="n">
        <x:v>29</x:v>
      </x:c>
      <x:c r="L155" s="49" t="n">
        <x:v>5</x:v>
      </x:c>
      <x:c r="M155" s="49" t="n">
        <x:v>0</x:v>
      </x:c>
      <x:c r="N155" s="49" t="n">
        <x:v>8.366</x:v>
      </x:c>
      <x:c r="O155" s="49" t="n">
        <x:v>1.6803</x:v>
      </x:c>
      <x:c r="P155" s="49" t="n">
        <x:f>IF(OR(N155="",O155=""),"",2*N155*O155/(N155+O155))</x:f>
        <x:v>2.7985208086559235</x:v>
      </x:c>
      <x:c r="Q155" s="58" t="str">
        <x:v>1시간_측정_자유열람실1_오열에서_1.jpg; 1시간_측정_자유열람실1_오열에서_2.jpg</x:v>
      </x:c>
      <x:c r="R155" s="58" t="str">
        <x:v>기존 Excel 대응</x:v>
      </x:c>
      <x:c r="S155" s="59" t="str"/>
    </x:row>
    <x:row r="156" ht="15" hidden="0" customHeight="1">
      <x:c r="A156" s="46" t="str">
        <x:v>FREE1_1H_R1</x:v>
      </x:c>
      <x:c r="B156" s="47" t="str">
        <x:v>일반</x:v>
      </x:c>
      <x:c r="C156" s="47" t="str">
        <x:v>오픈열람실2</x:v>
      </x:c>
      <x:c r="D156" s="47" t="str">
        <x:v>자유열람실1 AP</x:v>
      </x:c>
      <x:c r="E156" s="47" t="str">
        <x:v>고정</x:v>
      </x:c>
      <x:c r="F156" s="48" t="n">
        <x:v>60</x:v>
      </x:c>
      <x:c r="G156" s="48" t="n">
        <x:v>1</x:v>
      </x:c>
      <x:c r="H156" s="48" t="n">
        <x:v>27</x:v>
      </x:c>
      <x:c r="I156" s="49" t="n">
        <x:v>-78</x:v>
      </x:c>
      <x:c r="J156" s="49" t="n">
        <x:v>390</x:v>
      </x:c>
      <x:c r="K156" s="49" t="n">
        <x:v>31</x:v>
      </x:c>
      <x:c r="L156" s="49" t="n">
        <x:v>6</x:v>
      </x:c>
      <x:c r="M156" s="49" t="n">
        <x:v>0</x:v>
      </x:c>
      <x:c r="N156" s="49" t="n">
        <x:v>2.506</x:v>
      </x:c>
      <x:c r="O156" s="49" t="n">
        <x:v>0.6293</x:v>
      </x:c>
      <x:c r="P156" s="49" t="n">
        <x:f>IF(OR(N156="",O156=""),"",2*N156*O156/(N156+O156))</x:f>
        <x:v>1.0059807992855547</x:v>
      </x:c>
      <x:c r="Q156" s="58" t="str">
        <x:v>1시간_측정_자유열람실1_오열에서_1.jpg; 1시간_측정_자유열람실1_오열에서_2.jpg</x:v>
      </x:c>
      <x:c r="R156" s="58" t="str">
        <x:v>기존 Excel 대응</x:v>
      </x:c>
      <x:c r="S156" s="59" t="str"/>
    </x:row>
    <x:row r="157" ht="15" hidden="0" customHeight="1">
      <x:c r="A157" s="46" t="str">
        <x:v>FREE1_1H_R1</x:v>
      </x:c>
      <x:c r="B157" s="47" t="str">
        <x:v>일반</x:v>
      </x:c>
      <x:c r="C157" s="47" t="str">
        <x:v>오픈열람실2</x:v>
      </x:c>
      <x:c r="D157" s="47" t="str">
        <x:v>자유열람실1 AP</x:v>
      </x:c>
      <x:c r="E157" s="47" t="str">
        <x:v>고정</x:v>
      </x:c>
      <x:c r="F157" s="48" t="n">
        <x:v>60</x:v>
      </x:c>
      <x:c r="G157" s="48" t="n">
        <x:v>1</x:v>
      </x:c>
      <x:c r="H157" s="48" t="n">
        <x:v>28</x:v>
      </x:c>
      <x:c r="I157" s="49" t="n">
        <x:v>-71</x:v>
      </x:c>
      <x:c r="J157" s="49" t="n">
        <x:v>424.25</x:v>
      </x:c>
      <x:c r="K157" s="49" t="n">
        <x:v>33</x:v>
      </x:c>
      <x:c r="L157" s="49" t="n">
        <x:v>20</x:v>
      </x:c>
      <x:c r="M157" s="49" t="n">
        <x:v>0</x:v>
      </x:c>
      <x:c r="N157" s="49" t="n">
        <x:v>7.1281</x:v>
      </x:c>
      <x:c r="O157" s="49" t="n">
        <x:v>1.6751</x:v>
      </x:c>
      <x:c r="P157" s="49" t="n">
        <x:f>IF(OR(N157="",O157=""),"",2*N157*O157/(N157+O157))</x:f>
        <x:v>2.71271362913486</x:v>
      </x:c>
      <x:c r="Q157" s="58" t="str">
        <x:v>1시간_측정_자유열람실1_오열에서_1.jpg; 1시간_측정_자유열람실1_오열에서_2.jpg</x:v>
      </x:c>
      <x:c r="R157" s="58" t="str">
        <x:v>기존 Excel 대응</x:v>
      </x:c>
      <x:c r="S157" s="59" t="str"/>
    </x:row>
    <x:row r="158" ht="15" hidden="0" customHeight="1">
      <x:c r="A158" s="46" t="str">
        <x:v>FREE1_1H_R1</x:v>
      </x:c>
      <x:c r="B158" s="47" t="str">
        <x:v>일반</x:v>
      </x:c>
      <x:c r="C158" s="47" t="str">
        <x:v>오픈열람실2</x:v>
      </x:c>
      <x:c r="D158" s="47" t="str">
        <x:v>자유열람실1 AP</x:v>
      </x:c>
      <x:c r="E158" s="47" t="str">
        <x:v>고정</x:v>
      </x:c>
      <x:c r="F158" s="48" t="n">
        <x:v>60</x:v>
      </x:c>
      <x:c r="G158" s="48" t="n">
        <x:v>1</x:v>
      </x:c>
      <x:c r="H158" s="48" t="n">
        <x:v>29</x:v>
      </x:c>
      <x:c r="I158" s="49" t="n">
        <x:v>-73</x:v>
      </x:c>
      <x:c r="J158" s="49" t="n">
        <x:v>390</x:v>
      </x:c>
      <x:c r="K158" s="49" t="n">
        <x:v>34</x:v>
      </x:c>
      <x:c r="L158" s="49" t="n">
        <x:v>6</x:v>
      </x:c>
      <x:c r="M158" s="49" t="n">
        <x:v>0</x:v>
      </x:c>
      <x:c r="N158" s="49" t="n">
        <x:v>3.1323</x:v>
      </x:c>
      <x:c r="O158" s="49" t="n">
        <x:v>1.462</x:v>
      </x:c>
      <x:c r="P158" s="49" t="n">
        <x:f>IF(OR(N158="",O158=""),"",2*N158*O158/(N158+O158))</x:f>
        <x:v>1.9935235400387439</x:v>
      </x:c>
      <x:c r="Q158" s="58" t="str">
        <x:v>1시간_측정_자유열람실1_오열에서_1.jpg; 1시간_측정_자유열람실1_오열에서_2.jpg</x:v>
      </x:c>
      <x:c r="R158" s="58" t="str">
        <x:v>기존 Excel 대응</x:v>
      </x:c>
      <x:c r="S158" s="59" t="str"/>
    </x:row>
    <x:row r="159" ht="15" hidden="0" customHeight="1">
      <x:c r="A159" s="46" t="str">
        <x:v>FREE1_1H_R1</x:v>
      </x:c>
      <x:c r="B159" s="47" t="str">
        <x:v>일반</x:v>
      </x:c>
      <x:c r="C159" s="47" t="str">
        <x:v>오픈열람실2</x:v>
      </x:c>
      <x:c r="D159" s="47" t="str">
        <x:v>자유열람실1 AP</x:v>
      </x:c>
      <x:c r="E159" s="47" t="str">
        <x:v>고정</x:v>
      </x:c>
      <x:c r="F159" s="48" t="n">
        <x:v>60</x:v>
      </x:c>
      <x:c r="G159" s="48" t="n">
        <x:v>1</x:v>
      </x:c>
      <x:c r="H159" s="48" t="n">
        <x:v>30</x:v>
      </x:c>
      <x:c r="I159" s="49" t="n">
        <x:v>-76</x:v>
      </x:c>
      <x:c r="J159" s="49" t="n">
        <x:v>390</x:v>
      </x:c>
      <x:c r="K159" s="49" t="n">
        <x:v>33</x:v>
      </x:c>
      <x:c r="L159" s="49" t="n">
        <x:v>5</x:v>
      </x:c>
      <x:c r="M159" s="49" t="n">
        <x:v>0</x:v>
      </x:c>
      <x:c r="N159" s="49" t="n">
        <x:v>2.5093</x:v>
      </x:c>
      <x:c r="O159" s="49" t="n">
        <x:v>1.4701</x:v>
      </x:c>
      <x:c r="P159" s="49" t="n">
        <x:f>IF(OR(N159="",O159=""),"",2*N159*O159/(N159+O159))</x:f>
        <x:v>1.8540091119264213</x:v>
      </x:c>
      <x:c r="Q159" s="58" t="str">
        <x:v>1시간_측정_자유열람실1_오열에서_1.jpg; 1시간_측정_자유열람실1_오열에서_2.jpg</x:v>
      </x:c>
      <x:c r="R159" s="58" t="str">
        <x:v>기존 Excel 대응</x:v>
      </x:c>
      <x:c r="S159" s="59" t="str"/>
    </x:row>
    <x:row r="160" ht="15" hidden="0" customHeight="1">
      <x:c r="A160" s="46" t="str">
        <x:v>FREE1_1H_R1</x:v>
      </x:c>
      <x:c r="B160" s="47" t="str">
        <x:v>일반</x:v>
      </x:c>
      <x:c r="C160" s="47" t="str">
        <x:v>오픈열람실2</x:v>
      </x:c>
      <x:c r="D160" s="47" t="str">
        <x:v>자유열람실1 AP</x:v>
      </x:c>
      <x:c r="E160" s="47" t="str">
        <x:v>고정</x:v>
      </x:c>
      <x:c r="F160" s="48" t="n">
        <x:v>60</x:v>
      </x:c>
      <x:c r="G160" s="48" t="n">
        <x:v>1</x:v>
      </x:c>
      <x:c r="H160" s="48" t="n">
        <x:v>31</x:v>
      </x:c>
      <x:c r="I160" s="49" t="n">
        <x:v>-71</x:v>
      </x:c>
      <x:c r="J160" s="49" t="n">
        <x:v>390</x:v>
      </x:c>
      <x:c r="K160" s="49" t="n">
        <x:v>35</x:v>
      </x:c>
      <x:c r="L160" s="49" t="n">
        <x:v>8</x:v>
      </x:c>
      <x:c r="M160" s="49" t="n">
        <x:v>0</x:v>
      </x:c>
      <x:c r="N160" s="49" t="n">
        <x:v>4.4078</x:v>
      </x:c>
      <x:c r="O160" s="49" t="n">
        <x:v>1.2601</x:v>
      </x:c>
      <x:c r="P160" s="49" t="n">
        <x:f>IF(OR(N160="",O160=""),"",2*N160*O160/(N160+O160))</x:f>
        <x:v>1.959903590395032</x:v>
      </x:c>
      <x:c r="Q160" s="58" t="str">
        <x:v>1시간_측정_자유열람실1_오열에서_1.jpg; 1시간_측정_자유열람실1_오열에서_2.jpg</x:v>
      </x:c>
      <x:c r="R160" s="58" t="str">
        <x:v>기존 Excel 대응</x:v>
      </x:c>
      <x:c r="S160" s="59" t="str"/>
    </x:row>
    <x:row r="161" ht="15" hidden="0" customHeight="1">
      <x:c r="A161" s="46" t="str">
        <x:v>FREE1_1H_R1</x:v>
      </x:c>
      <x:c r="B161" s="47" t="str">
        <x:v>일반</x:v>
      </x:c>
      <x:c r="C161" s="47" t="str">
        <x:v>오픈열람실2</x:v>
      </x:c>
      <x:c r="D161" s="47" t="str">
        <x:v>자유열람실1 AP</x:v>
      </x:c>
      <x:c r="E161" s="47" t="str">
        <x:v>고정</x:v>
      </x:c>
      <x:c r="F161" s="48" t="n">
        <x:v>60</x:v>
      </x:c>
      <x:c r="G161" s="48" t="n">
        <x:v>1</x:v>
      </x:c>
      <x:c r="H161" s="48" t="n">
        <x:v>32</x:v>
      </x:c>
      <x:c r="I161" s="49" t="n">
        <x:v>-77</x:v>
      </x:c>
      <x:c r="J161" s="49" t="n">
        <x:v>390</x:v>
      </x:c>
      <x:c r="K161" s="49" t="n">
        <x:v>47</x:v>
      </x:c>
      <x:c r="L161" s="49" t="n">
        <x:v>5</x:v>
      </x:c>
      <x:c r="M161" s="49" t="n">
        <x:v>0</x:v>
      </x:c>
      <x:c r="N161" s="49" t="n">
        <x:v>5.0229</x:v>
      </x:c>
      <x:c r="O161" s="49" t="n">
        <x:v>1.4681</x:v>
      </x:c>
      <x:c r="P161" s="49" t="n">
        <x:f>IF(OR(N161="",O161=""),"",2*N161*O161/(N161+O161))</x:f>
        <x:v>2.2721058357726083</x:v>
      </x:c>
      <x:c r="Q161" s="58" t="str">
        <x:v>1시간_측정_자유열람실1_오열에서_1.jpg; 1시간_측정_자유열람실1_오열에서_2.jpg</x:v>
      </x:c>
      <x:c r="R161" s="58" t="str">
        <x:v>기존 Excel 대응</x:v>
      </x:c>
      <x:c r="S161" s="59" t="str"/>
    </x:row>
    <x:row r="162" ht="15" hidden="0" customHeight="1">
      <x:c r="A162" s="46" t="str">
        <x:v>FREE1_1H_R1</x:v>
      </x:c>
      <x:c r="B162" s="47" t="str">
        <x:v>일반</x:v>
      </x:c>
      <x:c r="C162" s="47" t="str">
        <x:v>오픈열람실2</x:v>
      </x:c>
      <x:c r="D162" s="47" t="str">
        <x:v>자유열람실1 AP</x:v>
      </x:c>
      <x:c r="E162" s="47" t="str">
        <x:v>고정</x:v>
      </x:c>
      <x:c r="F162" s="48" t="n">
        <x:v>60</x:v>
      </x:c>
      <x:c r="G162" s="48" t="n">
        <x:v>1</x:v>
      </x:c>
      <x:c r="H162" s="48" t="n">
        <x:v>33</x:v>
      </x:c>
      <x:c r="I162" s="49" t="n">
        <x:v>-74</x:v>
      </x:c>
      <x:c r="J162" s="49" t="n">
        <x:v>390</x:v>
      </x:c>
      <x:c r="K162" s="49" t="n">
        <x:v>34</x:v>
      </x:c>
      <x:c r="L162" s="49" t="n">
        <x:v>5</x:v>
      </x:c>
      <x:c r="M162" s="49" t="n">
        <x:v>0</x:v>
      </x:c>
      <x:c r="N162" s="49" t="n">
        <x:v>5.023</x:v>
      </x:c>
      <x:c r="O162" s="49" t="n">
        <x:v>1.468</x:v>
      </x:c>
      <x:c r="P162" s="49" t="n">
        <x:f>IF(OR(N162="",O162=""),"",2*N162*O162/(N162+O162))</x:f>
        <x:v>2.271996302572793</x:v>
      </x:c>
      <x:c r="Q162" s="58" t="str">
        <x:v>1시간_측정_자유열람실1_오열에서_1.jpg; 1시간_측정_자유열람실1_오열에서_2.jpg</x:v>
      </x:c>
      <x:c r="R162" s="58" t="str">
        <x:v>기존 Excel 대응</x:v>
      </x:c>
      <x:c r="S162" s="59" t="str"/>
    </x:row>
    <x:row r="163" ht="15" hidden="0" customHeight="1">
      <x:c r="A163" s="46" t="str">
        <x:v>FREE1_1H_R1</x:v>
      </x:c>
      <x:c r="B163" s="47" t="str">
        <x:v>일반</x:v>
      </x:c>
      <x:c r="C163" s="47" t="str">
        <x:v>오픈열람실2</x:v>
      </x:c>
      <x:c r="D163" s="47" t="str">
        <x:v>자유열람실1 AP</x:v>
      </x:c>
      <x:c r="E163" s="47" t="str">
        <x:v>고정</x:v>
      </x:c>
      <x:c r="F163" s="48" t="n">
        <x:v>60</x:v>
      </x:c>
      <x:c r="G163" s="48" t="n">
        <x:v>1</x:v>
      </x:c>
      <x:c r="H163" s="48" t="n">
        <x:v>34</x:v>
      </x:c>
      <x:c r="I163" s="49" t="n">
        <x:v>-74</x:v>
      </x:c>
      <x:c r="J163" s="49" t="n">
        <x:v>424.25</x:v>
      </x:c>
      <x:c r="K163" s="49" t="n">
        <x:v>19</x:v>
      </x:c>
      <x:c r="L163" s="49" t="n">
        <x:v>6</x:v>
      </x:c>
      <x:c r="M163" s="49" t="n">
        <x:v>0</x:v>
      </x:c>
      <x:c r="N163" s="49" t="n">
        <x:v>6.0681</x:v>
      </x:c>
      <x:c r="O163" s="49" t="n">
        <x:v>0.4177</x:v>
      </x:c>
      <x:c r="P163" s="49" t="n">
        <x:f>IF(OR(N163="",O163=""),"",2*N163*O163/(N163+O163))</x:f>
        <x:v>0.7815983749113449</x:v>
      </x:c>
      <x:c r="Q163" s="58" t="str">
        <x:v>1시간_측정_자유열람실1_오열에서_1.jpg; 1시간_측정_자유열람실1_오열에서_2.jpg</x:v>
      </x:c>
      <x:c r="R163" s="58" t="str">
        <x:v>기존 Excel 대응</x:v>
      </x:c>
      <x:c r="S163" s="59" t="str"/>
    </x:row>
    <x:row r="164" ht="15" hidden="0" customHeight="1">
      <x:c r="A164" s="46" t="str">
        <x:v>FREE1_1H_R1</x:v>
      </x:c>
      <x:c r="B164" s="47" t="str">
        <x:v>일반</x:v>
      </x:c>
      <x:c r="C164" s="47" t="str">
        <x:v>오픈열람실2</x:v>
      </x:c>
      <x:c r="D164" s="47" t="str">
        <x:v>자유열람실1 AP</x:v>
      </x:c>
      <x:c r="E164" s="47" t="str">
        <x:v>고정</x:v>
      </x:c>
      <x:c r="F164" s="48" t="n">
        <x:v>60</x:v>
      </x:c>
      <x:c r="G164" s="48" t="n">
        <x:v>1</x:v>
      </x:c>
      <x:c r="H164" s="48" t="n">
        <x:v>35</x:v>
      </x:c>
      <x:c r="I164" s="49" t="n">
        <x:v>-76</x:v>
      </x:c>
      <x:c r="J164" s="49" t="n">
        <x:v>390</x:v>
      </x:c>
      <x:c r="K164" s="49" t="n">
        <x:v>23</x:v>
      </x:c>
      <x:c r="L164" s="49" t="n">
        <x:v>9</x:v>
      </x:c>
      <x:c r="M164" s="49" t="n">
        <x:v>0</x:v>
      </x:c>
      <x:c r="N164" s="49" t="n">
        <x:v>6.6936</x:v>
      </x:c>
      <x:c r="O164" s="49" t="n">
        <x:v>2.0849</x:v>
      </x:c>
      <x:c r="P164" s="49" t="n">
        <x:f>IF(OR(N164="",O164=""),"",2*N164*O164/(N164+O164))</x:f>
        <x:v>3.1794695312411005</x:v>
      </x:c>
      <x:c r="Q164" s="58" t="str">
        <x:v>1시간_측정_자유열람실1_오열에서_1.jpg; 1시간_측정_자유열람실1_오열에서_2.jpg</x:v>
      </x:c>
      <x:c r="R164" s="58" t="str">
        <x:v>기존 Excel 대응</x:v>
      </x:c>
      <x:c r="S164" s="59" t="str"/>
    </x:row>
    <x:row r="165" ht="15" hidden="0" customHeight="1">
      <x:c r="A165" s="46" t="str">
        <x:v>FREE1_1H_R1</x:v>
      </x:c>
      <x:c r="B165" s="47" t="str">
        <x:v>일반</x:v>
      </x:c>
      <x:c r="C165" s="47" t="str">
        <x:v>오픈열람실2</x:v>
      </x:c>
      <x:c r="D165" s="47" t="str">
        <x:v>자유열람실1 AP</x:v>
      </x:c>
      <x:c r="E165" s="47" t="str">
        <x:v>고정</x:v>
      </x:c>
      <x:c r="F165" s="48" t="n">
        <x:v>60</x:v>
      </x:c>
      <x:c r="G165" s="48" t="n">
        <x:v>1</x:v>
      </x:c>
      <x:c r="H165" s="48" t="n">
        <x:v>36</x:v>
      </x:c>
      <x:c r="I165" s="49" t="n">
        <x:v>-77</x:v>
      </x:c>
      <x:c r="J165" s="49" t="n">
        <x:v>390</x:v>
      </x:c>
      <x:c r="K165" s="49" t="n">
        <x:v>17</x:v>
      </x:c>
      <x:c r="L165" s="49" t="n">
        <x:v>4</x:v>
      </x:c>
      <x:c r="M165" s="49" t="n">
        <x:v>0</x:v>
      </x:c>
      <x:c r="N165" s="49" t="n">
        <x:v>3.3513</x:v>
      </x:c>
      <x:c r="O165" s="49" t="n">
        <x:v>1.2583</x:v>
      </x:c>
      <x:c r="P165" s="49" t="n">
        <x:f>IF(OR(N165="",O165=""),"",2*N165*O165/(N165+O165))</x:f>
        <x:v>1.8296341504685871</x:v>
      </x:c>
      <x:c r="Q165" s="58" t="str">
        <x:v>1시간_측정_자유열람실1_오열에서_1.jpg; 1시간_측정_자유열람실1_오열에서_2.jpg</x:v>
      </x:c>
      <x:c r="R165" s="58" t="str">
        <x:v>기존 Excel 대응</x:v>
      </x:c>
      <x:c r="S165" s="59" t="str"/>
    </x:row>
    <x:row r="166" ht="15" hidden="0" customHeight="1">
      <x:c r="A166" s="46" t="str">
        <x:v>FREE1_1H_R1</x:v>
      </x:c>
      <x:c r="B166" s="47" t="str">
        <x:v>일반</x:v>
      </x:c>
      <x:c r="C166" s="47" t="str">
        <x:v>오픈열람실2</x:v>
      </x:c>
      <x:c r="D166" s="47" t="str">
        <x:v>자유열람실1 AP</x:v>
      </x:c>
      <x:c r="E166" s="47" t="str">
        <x:v>고정</x:v>
      </x:c>
      <x:c r="F166" s="48" t="n">
        <x:v>60</x:v>
      </x:c>
      <x:c r="G166" s="48" t="n">
        <x:v>1</x:v>
      </x:c>
      <x:c r="H166" s="48" t="n">
        <x:v>37</x:v>
      </x:c>
      <x:c r="I166" s="49" t="n">
        <x:v>-78</x:v>
      </x:c>
      <x:c r="J166" s="49" t="n">
        <x:v>458.75</x:v>
      </x:c>
      <x:c r="K166" s="49" t="n">
        <x:v>24</x:v>
      </x:c>
      <x:c r="L166" s="49" t="n">
        <x:v>4</x:v>
      </x:c>
      <x:c r="M166" s="49" t="n">
        <x:v>0</x:v>
      </x:c>
      <x:c r="N166" s="49" t="n">
        <x:v>6.2739</x:v>
      </x:c>
      <x:c r="O166" s="49" t="n">
        <x:v>1.6759</x:v>
      </x:c>
      <x:c r="P166" s="49" t="n">
        <x:f>IF(OR(N166="",O166=""),"",2*N166*O166/(N166+O166))</x:f>
        <x:v>2.6452059196457776</x:v>
      </x:c>
      <x:c r="Q166" s="58" t="str">
        <x:v>1시간_측정_자유열람실1_오열에서_1.jpg; 1시간_측정_자유열람실1_오열에서_2.jpg</x:v>
      </x:c>
      <x:c r="R166" s="58" t="str">
        <x:v>기존 Excel 대응</x:v>
      </x:c>
      <x:c r="S166" s="59" t="str"/>
    </x:row>
    <x:row r="167" ht="15" hidden="0" customHeight="1">
      <x:c r="A167" s="46" t="str">
        <x:v>FREE1_1H_R1</x:v>
      </x:c>
      <x:c r="B167" s="47" t="str">
        <x:v>일반</x:v>
      </x:c>
      <x:c r="C167" s="47" t="str">
        <x:v>오픈열람실2</x:v>
      </x:c>
      <x:c r="D167" s="47" t="str">
        <x:v>자유열람실1 AP</x:v>
      </x:c>
      <x:c r="E167" s="47" t="str">
        <x:v>고정</x:v>
      </x:c>
      <x:c r="F167" s="48" t="n">
        <x:v>60</x:v>
      </x:c>
      <x:c r="G167" s="48" t="n">
        <x:v>1</x:v>
      </x:c>
      <x:c r="H167" s="48" t="n">
        <x:v>38</x:v>
      </x:c>
      <x:c r="I167" s="49" t="n">
        <x:v>-75</x:v>
      </x:c>
      <x:c r="J167" s="49" t="n">
        <x:v>390</x:v>
      </x:c>
      <x:c r="K167" s="49" t="n">
        <x:v>29</x:v>
      </x:c>
      <x:c r="L167" s="49" t="n">
        <x:v>8</x:v>
      </x:c>
      <x:c r="M167" s="49" t="n">
        <x:v>0</x:v>
      </x:c>
      <x:c r="N167" s="49" t="n">
        <x:v>7.1324</x:v>
      </x:c>
      <x:c r="O167" s="49" t="n">
        <x:v>3.3501</x:v>
      </x:c>
      <x:c r="P167" s="49" t="n">
        <x:f>IF(OR(N167="",O167=""),"",2*N167*O167/(N167+O167))</x:f>
        <x:v>4.558884472215597</x:v>
      </x:c>
      <x:c r="Q167" s="58" t="str">
        <x:v>1시간_측정_자유열람실1_오열에서_1.jpg; 1시간_측정_자유열람실1_오열에서_2.jpg</x:v>
      </x:c>
      <x:c r="R167" s="58" t="str">
        <x:v>기존 Excel 대응</x:v>
      </x:c>
      <x:c r="S167" s="59" t="str"/>
    </x:row>
    <x:row r="168" ht="15" hidden="0" customHeight="1">
      <x:c r="A168" s="46" t="str">
        <x:v>FREE1_1H_R1</x:v>
      </x:c>
      <x:c r="B168" s="47" t="str">
        <x:v>일반</x:v>
      </x:c>
      <x:c r="C168" s="47" t="str">
        <x:v>오픈열람실2</x:v>
      </x:c>
      <x:c r="D168" s="47" t="str">
        <x:v>자유열람실1 AP</x:v>
      </x:c>
      <x:c r="E168" s="47" t="str">
        <x:v>고정</x:v>
      </x:c>
      <x:c r="F168" s="48" t="n">
        <x:v>60</x:v>
      </x:c>
      <x:c r="G168" s="48" t="n">
        <x:v>1</x:v>
      </x:c>
      <x:c r="H168" s="48" t="n">
        <x:v>39</x:v>
      </x:c>
      <x:c r="I168" s="49" t="n">
        <x:v>-74</x:v>
      </x:c>
      <x:c r="J168" s="49" t="n">
        <x:v>458.75</x:v>
      </x:c>
      <x:c r="K168" s="49" t="n">
        <x:v>29</x:v>
      </x:c>
      <x:c r="L168" s="49" t="n">
        <x:v>10</x:v>
      </x:c>
      <x:c r="M168" s="49" t="n">
        <x:v>0</x:v>
      </x:c>
      <x:c r="N168" s="49" t="n">
        <x:v>4.4003</x:v>
      </x:c>
      <x:c r="O168" s="49" t="n">
        <x:v>1.8822</x:v>
      </x:c>
      <x:c r="P168" s="49" t="n">
        <x:f>IF(OR(N168="",O168=""),"",2*N168*O168/(N168+O168))</x:f>
        <x:v>2.6366079299641862</x:v>
      </x:c>
      <x:c r="Q168" s="58" t="str">
        <x:v>1시간_측정_자유열람실1_오열에서_1.jpg; 1시간_측정_자유열람실1_오열에서_2.jpg</x:v>
      </x:c>
      <x:c r="R168" s="58" t="str">
        <x:v>기존 Excel 대응</x:v>
      </x:c>
      <x:c r="S168" s="59" t="str"/>
    </x:row>
    <x:row r="169" ht="15" hidden="0" customHeight="1">
      <x:c r="A169" s="46" t="str">
        <x:v>FREE1_1H_R1</x:v>
      </x:c>
      <x:c r="B169" s="47" t="str">
        <x:v>일반</x:v>
      </x:c>
      <x:c r="C169" s="47" t="str">
        <x:v>오픈열람실2</x:v>
      </x:c>
      <x:c r="D169" s="47" t="str">
        <x:v>자유열람실1 AP</x:v>
      </x:c>
      <x:c r="E169" s="47" t="str">
        <x:v>고정</x:v>
      </x:c>
      <x:c r="F169" s="48" t="n">
        <x:v>60</x:v>
      </x:c>
      <x:c r="G169" s="48" t="n">
        <x:v>1</x:v>
      </x:c>
      <x:c r="H169" s="48" t="n">
        <x:v>40</x:v>
      </x:c>
      <x:c r="I169" s="49" t="n">
        <x:v>-78</x:v>
      </x:c>
      <x:c r="J169" s="49" t="n">
        <x:v>458.75</x:v>
      </x:c>
      <x:c r="K169" s="49" t="n">
        <x:v>28</x:v>
      </x:c>
      <x:c r="L169" s="49" t="n">
        <x:v>6</x:v>
      </x:c>
      <x:c r="M169" s="49" t="n">
        <x:v>0</x:v>
      </x:c>
      <x:c r="N169" s="49" t="n">
        <x:v>3.7636</x:v>
      </x:c>
      <x:c r="O169" s="49" t="n">
        <x:v>1.6773</x:v>
      </x:c>
      <x:c r="P169" s="49" t="n">
        <x:f>IF(OR(N169="",O169=""),"",2*N169*O169/(N169+O169))</x:f>
        <x:v>2.3204566450403425</x:v>
      </x:c>
      <x:c r="Q169" s="58" t="str">
        <x:v>1시간_측정_자유열람실1_오열에서_1.jpg; 1시간_측정_자유열람실1_오열에서_2.jpg</x:v>
      </x:c>
      <x:c r="R169" s="58" t="str">
        <x:v>기존 Excel 대응</x:v>
      </x:c>
      <x:c r="S169" s="59" t="str"/>
    </x:row>
    <x:row r="170" ht="15" hidden="0" customHeight="1">
      <x:c r="A170" s="46" t="str">
        <x:v>FREE1_1H_R1</x:v>
      </x:c>
      <x:c r="B170" s="47" t="str">
        <x:v>일반</x:v>
      </x:c>
      <x:c r="C170" s="47" t="str">
        <x:v>오픈열람실2</x:v>
      </x:c>
      <x:c r="D170" s="47" t="str">
        <x:v>자유열람실1 AP</x:v>
      </x:c>
      <x:c r="E170" s="47" t="str">
        <x:v>고정</x:v>
      </x:c>
      <x:c r="F170" s="48" t="n">
        <x:v>60</x:v>
      </x:c>
      <x:c r="G170" s="48" t="n">
        <x:v>1</x:v>
      </x:c>
      <x:c r="H170" s="48" t="n">
        <x:v>41</x:v>
      </x:c>
      <x:c r="I170" s="49" t="n">
        <x:v>-79</x:v>
      </x:c>
      <x:c r="J170" s="49" t="n">
        <x:v>458.75</x:v>
      </x:c>
      <x:c r="K170" s="49" t="n">
        <x:v>37</x:v>
      </x:c>
      <x:c r="L170" s="49" t="n">
        <x:v>6</x:v>
      </x:c>
      <x:c r="M170" s="49" t="n">
        <x:v>0</x:v>
      </x:c>
      <x:c r="N170" s="49" t="n">
        <x:v>1.4624</x:v>
      </x:c>
      <x:c r="O170" s="49" t="n">
        <x:v>0.8378</x:v>
      </x:c>
      <x:c r="P170" s="49" t="n">
        <x:f>IF(OR(N170="",O170=""),"",2*N170*O170/(N170+O170))</x:f>
        <x:v>1.065297556734197</x:v>
      </x:c>
      <x:c r="Q170" s="58" t="str">
        <x:v>1시간_측정_자유열람실1_오열에서_1.jpg; 1시간_측정_자유열람실1_오열에서_2.jpg</x:v>
      </x:c>
      <x:c r="R170" s="58" t="str">
        <x:v>기존 Excel 대응</x:v>
      </x:c>
      <x:c r="S170" s="59" t="str"/>
    </x:row>
    <x:row r="171" ht="15" hidden="0" customHeight="1">
      <x:c r="A171" s="46" t="str">
        <x:v>FREE1_1H_R1</x:v>
      </x:c>
      <x:c r="B171" s="47" t="str">
        <x:v>일반</x:v>
      </x:c>
      <x:c r="C171" s="47" t="str">
        <x:v>오픈열람실2</x:v>
      </x:c>
      <x:c r="D171" s="47" t="str">
        <x:v>자유열람실1 AP</x:v>
      </x:c>
      <x:c r="E171" s="47" t="str">
        <x:v>고정</x:v>
      </x:c>
      <x:c r="F171" s="48" t="n">
        <x:v>60</x:v>
      </x:c>
      <x:c r="G171" s="48" t="n">
        <x:v>1</x:v>
      </x:c>
      <x:c r="H171" s="48" t="n">
        <x:v>42</x:v>
      </x:c>
      <x:c r="I171" s="49" t="n">
        <x:v>-78</x:v>
      </x:c>
      <x:c r="J171" s="49" t="n">
        <x:v>458.75</x:v>
      </x:c>
      <x:c r="K171" s="49" t="n">
        <x:v>44</x:v>
      </x:c>
      <x:c r="L171" s="49" t="n">
        <x:v>13</x:v>
      </x:c>
      <x:c r="M171" s="49" t="n">
        <x:v>0</x:v>
      </x:c>
      <x:c r="N171" s="49" t="n">
        <x:v>8.1608</x:v>
      </x:c>
      <x:c r="O171" s="49" t="n">
        <x:v>1.257</x:v>
      </x:c>
      <x:c r="P171" s="49" t="n">
        <x:f>IF(OR(N171="",O171=""),"",2*N171*O171/(N171+O171))</x:f>
        <x:v>2.178454755887787</x:v>
      </x:c>
      <x:c r="Q171" s="58" t="str">
        <x:v>1시간_측정_자유열람실1_오열에서_1.jpg; 1시간_측정_자유열람실1_오열에서_2.jpg</x:v>
      </x:c>
      <x:c r="R171" s="58" t="str">
        <x:v>기존 Excel 대응</x:v>
      </x:c>
      <x:c r="S171" s="59" t="str"/>
    </x:row>
    <x:row r="172" ht="15" hidden="0" customHeight="1">
      <x:c r="A172" s="46" t="str">
        <x:v>FREE1_1H_R1</x:v>
      </x:c>
      <x:c r="B172" s="47" t="str">
        <x:v>일반</x:v>
      </x:c>
      <x:c r="C172" s="47" t="str">
        <x:v>오픈열람실2</x:v>
      </x:c>
      <x:c r="D172" s="47" t="str">
        <x:v>자유열람실1 AP</x:v>
      </x:c>
      <x:c r="E172" s="47" t="str">
        <x:v>고정</x:v>
      </x:c>
      <x:c r="F172" s="48" t="n">
        <x:v>60</x:v>
      </x:c>
      <x:c r="G172" s="48" t="n">
        <x:v>1</x:v>
      </x:c>
      <x:c r="H172" s="48" t="n">
        <x:v>43</x:v>
      </x:c>
      <x:c r="I172" s="49" t="n">
        <x:v>-78</x:v>
      </x:c>
      <x:c r="J172" s="49" t="n">
        <x:v>458.75</x:v>
      </x:c>
      <x:c r="K172" s="49" t="n">
        <x:v>30</x:v>
      </x:c>
      <x:c r="L172" s="49" t="n">
        <x:v>19</x:v>
      </x:c>
      <x:c r="M172" s="49" t="n">
        <x:v>0</x:v>
      </x:c>
      <x:c r="N172" s="49" t="n">
        <x:v>1.882</x:v>
      </x:c>
      <x:c r="O172" s="49" t="n">
        <x:v>3.1327</x:v>
      </x:c>
      <x:c r="P172" s="49" t="n">
        <x:f>IF(OR(N172="",O172=""),"",2*N172*O172/(N172+O172))</x:f>
        <x:v>2.351383492531956</x:v>
      </x:c>
      <x:c r="Q172" s="58" t="str">
        <x:v>1시간_측정_자유열람실1_오열에서_1.jpg; 1시간_측정_자유열람실1_오열에서_2.jpg</x:v>
      </x:c>
      <x:c r="R172" s="58" t="str">
        <x:v>기존 Excel 대응</x:v>
      </x:c>
      <x:c r="S172" s="59" t="str"/>
    </x:row>
    <x:row r="173" ht="15" hidden="0" customHeight="1">
      <x:c r="A173" s="46" t="str">
        <x:v>FREE1_1H_R1</x:v>
      </x:c>
      <x:c r="B173" s="47" t="str">
        <x:v>일반</x:v>
      </x:c>
      <x:c r="C173" s="47" t="str">
        <x:v>오픈열람실2</x:v>
      </x:c>
      <x:c r="D173" s="47" t="str">
        <x:v>자유열람실1 AP</x:v>
      </x:c>
      <x:c r="E173" s="47" t="str">
        <x:v>고정</x:v>
      </x:c>
      <x:c r="F173" s="48" t="n">
        <x:v>60</x:v>
      </x:c>
      <x:c r="G173" s="48" t="n">
        <x:v>1</x:v>
      </x:c>
      <x:c r="H173" s="48" t="n">
        <x:v>44</x:v>
      </x:c>
      <x:c r="I173" s="49" t="n">
        <x:v>-79</x:v>
      </x:c>
      <x:c r="J173" s="49" t="n">
        <x:v>458.75</x:v>
      </x:c>
      <x:c r="K173" s="49" t="n">
        <x:v>19</x:v>
      </x:c>
      <x:c r="L173" s="49" t="n">
        <x:v>5</x:v>
      </x:c>
      <x:c r="M173" s="49" t="n">
        <x:v>0</x:v>
      </x:c>
      <x:c r="N173" s="49" t="n">
        <x:v>4.4045</x:v>
      </x:c>
      <x:c r="O173" s="49" t="n">
        <x:v>2.3004</x:v>
      </x:c>
      <x:c r="P173" s="49" t="n">
        <x:f>IF(OR(N173="",O173=""),"",2*N173*O173/(N173+O173))</x:f>
        <x:v>3.0223006457963577</x:v>
      </x:c>
      <x:c r="Q173" s="58" t="str">
        <x:v>1시간_측정_자유열람실1_오열에서_1.jpg; 1시간_측정_자유열람실1_오열에서_2.jpg</x:v>
      </x:c>
      <x:c r="R173" s="58" t="str">
        <x:v>기존 Excel 대응</x:v>
      </x:c>
      <x:c r="S173" s="59" t="str"/>
    </x:row>
    <x:row r="174" ht="15" hidden="0" customHeight="1">
      <x:c r="A174" s="46" t="str">
        <x:v>FREE1_1H_R1</x:v>
      </x:c>
      <x:c r="B174" s="47" t="str">
        <x:v>일반</x:v>
      </x:c>
      <x:c r="C174" s="47" t="str">
        <x:v>오픈열람실2</x:v>
      </x:c>
      <x:c r="D174" s="47" t="str">
        <x:v>자유열람실1 AP</x:v>
      </x:c>
      <x:c r="E174" s="47" t="str">
        <x:v>고정</x:v>
      </x:c>
      <x:c r="F174" s="48" t="n">
        <x:v>60</x:v>
      </x:c>
      <x:c r="G174" s="48" t="n">
        <x:v>1</x:v>
      </x:c>
      <x:c r="H174" s="48" t="n">
        <x:v>45</x:v>
      </x:c>
      <x:c r="I174" s="49" t="n">
        <x:v>-78</x:v>
      </x:c>
      <x:c r="J174" s="49" t="n">
        <x:v>458.75</x:v>
      </x:c>
      <x:c r="K174" s="49" t="n">
        <x:v>36</x:v>
      </x:c>
      <x:c r="L174" s="49" t="n">
        <x:v>6</x:v>
      </x:c>
      <x:c r="M174" s="49" t="n">
        <x:v>0</x:v>
      </x:c>
      <x:c r="N174" s="49" t="n">
        <x:v>7.3258</x:v>
      </x:c>
      <x:c r="O174" s="49" t="n">
        <x:v>2.3039</x:v>
      </x:c>
      <x:c r="P174" s="49" t="n">
        <x:f>IF(OR(N174="",O174=""),"",2*N174*O174/(N174+O174))</x:f>
        <x:v>3.5053865894056933</x:v>
      </x:c>
      <x:c r="Q174" s="58" t="str">
        <x:v>1시간_측정_자유열람실1_오열에서_1.jpg; 1시간_측정_자유열람실1_오열에서_2.jpg</x:v>
      </x:c>
      <x:c r="R174" s="58" t="str">
        <x:v>기존 Excel 대응</x:v>
      </x:c>
      <x:c r="S174" s="59" t="str"/>
    </x:row>
    <x:row r="175" ht="15" hidden="0" customHeight="1">
      <x:c r="A175" s="46" t="str">
        <x:v>FREE1_1H_R1</x:v>
      </x:c>
      <x:c r="B175" s="47" t="str">
        <x:v>일반</x:v>
      </x:c>
      <x:c r="C175" s="47" t="str">
        <x:v>오픈열람실2</x:v>
      </x:c>
      <x:c r="D175" s="47" t="str">
        <x:v>자유열람실1 AP</x:v>
      </x:c>
      <x:c r="E175" s="47" t="str">
        <x:v>고정</x:v>
      </x:c>
      <x:c r="F175" s="48" t="n">
        <x:v>60</x:v>
      </x:c>
      <x:c r="G175" s="48" t="n">
        <x:v>1</x:v>
      </x:c>
      <x:c r="H175" s="48" t="n">
        <x:v>46</x:v>
      </x:c>
      <x:c r="I175" s="49" t="n">
        <x:v>-80</x:v>
      </x:c>
      <x:c r="J175" s="49" t="n">
        <x:v>458.75</x:v>
      </x:c>
      <x:c r="K175" s="49" t="n">
        <x:v>27</x:v>
      </x:c>
      <x:c r="L175" s="49" t="n">
        <x:v>7</x:v>
      </x:c>
      <x:c r="M175" s="49" t="n">
        <x:v>0</x:v>
      </x:c>
      <x:c r="N175" s="49" t="n">
        <x:v>3.5511</x:v>
      </x:c>
      <x:c r="O175" s="49" t="n">
        <x:v>3.5571</x:v>
      </x:c>
      <x:c r="P175" s="49" t="n">
        <x:f>IF(OR(N175="",O175=""),"",2*N175*O175/(N175+O175))</x:f>
        <x:v>3.554097467713345</x:v>
      </x:c>
      <x:c r="Q175" s="58" t="str">
        <x:v>1시간_측정_자유열람실1_오열에서_1.jpg; 1시간_측정_자유열람실1_오열에서_2.jpg</x:v>
      </x:c>
      <x:c r="R175" s="58" t="str">
        <x:v>기존 Excel 대응</x:v>
      </x:c>
      <x:c r="S175" s="59" t="str"/>
    </x:row>
    <x:row r="176" ht="15" hidden="0" customHeight="1">
      <x:c r="A176" s="46" t="str">
        <x:v>FREE1_1H_R1</x:v>
      </x:c>
      <x:c r="B176" s="47" t="str">
        <x:v>일반</x:v>
      </x:c>
      <x:c r="C176" s="47" t="str">
        <x:v>오픈열람실2</x:v>
      </x:c>
      <x:c r="D176" s="47" t="str">
        <x:v>자유열람실1 AP</x:v>
      </x:c>
      <x:c r="E176" s="47" t="str">
        <x:v>고정</x:v>
      </x:c>
      <x:c r="F176" s="48" t="n">
        <x:v>60</x:v>
      </x:c>
      <x:c r="G176" s="48" t="n">
        <x:v>1</x:v>
      </x:c>
      <x:c r="H176" s="48" t="n">
        <x:v>47</x:v>
      </x:c>
      <x:c r="I176" s="49" t="n">
        <x:v>-76</x:v>
      </x:c>
      <x:c r="J176" s="49" t="n">
        <x:v>390</x:v>
      </x:c>
      <x:c r="K176" s="49" t="n">
        <x:v>23</x:v>
      </x:c>
      <x:c r="L176" s="49" t="n">
        <x:v>4</x:v>
      </x:c>
      <x:c r="M176" s="49" t="n">
        <x:v>0</x:v>
      </x:c>
      <x:c r="N176" s="49" t="n">
        <x:v>9.236</x:v>
      </x:c>
      <x:c r="O176" s="49" t="n">
        <x:v>1.8852</x:v>
      </x:c>
      <x:c r="P176" s="49" t="n">
        <x:f>IF(OR(N176="",O176=""),"",2*N176*O176/(N176+O176))</x:f>
        <x:v>3.131264108189764</x:v>
      </x:c>
      <x:c r="Q176" s="58" t="str">
        <x:v>1시간_측정_자유열람실1_오열에서_1.jpg; 1시간_측정_자유열람실1_오열에서_2.jpg</x:v>
      </x:c>
      <x:c r="R176" s="58" t="str">
        <x:v>기존 Excel 대응</x:v>
      </x:c>
      <x:c r="S176" s="59" t="str"/>
    </x:row>
    <x:row r="177" ht="15" hidden="0" customHeight="1">
      <x:c r="A177" s="46" t="str">
        <x:v>FREE1_1H_R1</x:v>
      </x:c>
      <x:c r="B177" s="47" t="str">
        <x:v>일반</x:v>
      </x:c>
      <x:c r="C177" s="47" t="str">
        <x:v>오픈열람실2</x:v>
      </x:c>
      <x:c r="D177" s="47" t="str">
        <x:v>자유열람실1 AP</x:v>
      </x:c>
      <x:c r="E177" s="47" t="str">
        <x:v>고정</x:v>
      </x:c>
      <x:c r="F177" s="48" t="n">
        <x:v>60</x:v>
      </x:c>
      <x:c r="G177" s="48" t="n">
        <x:v>1</x:v>
      </x:c>
      <x:c r="H177" s="48" t="n">
        <x:v>48</x:v>
      </x:c>
      <x:c r="I177" s="49" t="n">
        <x:v>-75</x:v>
      </x:c>
      <x:c r="J177" s="49" t="n">
        <x:v>390</x:v>
      </x:c>
      <x:c r="K177" s="49" t="n">
        <x:v>34</x:v>
      </x:c>
      <x:c r="L177" s="49" t="n">
        <x:v>24</x:v>
      </x:c>
      <x:c r="M177" s="49" t="n">
        <x:v>0</x:v>
      </x:c>
      <x:c r="N177" s="49" t="n">
        <x:v>7.1393</x:v>
      </x:c>
      <x:c r="O177" s="49" t="n">
        <x:v>2.3068</x:v>
      </x:c>
      <x:c r="P177" s="49" t="n">
        <x:f>IF(OR(N177="",O177=""),"",2*N177*O177/(N177+O177))</x:f>
        <x:v>3.486928412784112</x:v>
      </x:c>
      <x:c r="Q177" s="58" t="str">
        <x:v>1시간_측정_자유열람실1_오열에서_1.jpg; 1시간_측정_자유열람실1_오열에서_2.jpg</x:v>
      </x:c>
      <x:c r="R177" s="58" t="str">
        <x:v>기존 Excel 대응</x:v>
      </x:c>
      <x:c r="S177" s="59" t="str"/>
    </x:row>
    <x:row r="178" ht="15" hidden="0" customHeight="1">
      <x:c r="A178" s="46" t="str">
        <x:v>FREE1_1H_R1</x:v>
      </x:c>
      <x:c r="B178" s="47" t="str">
        <x:v>일반</x:v>
      </x:c>
      <x:c r="C178" s="47" t="str">
        <x:v>오픈열람실2</x:v>
      </x:c>
      <x:c r="D178" s="47" t="str">
        <x:v>자유열람실1 AP</x:v>
      </x:c>
      <x:c r="E178" s="47" t="str">
        <x:v>고정</x:v>
      </x:c>
      <x:c r="F178" s="48" t="n">
        <x:v>60</x:v>
      </x:c>
      <x:c r="G178" s="48" t="n">
        <x:v>1</x:v>
      </x:c>
      <x:c r="H178" s="48" t="n">
        <x:v>49</x:v>
      </x:c>
      <x:c r="I178" s="49" t="n">
        <x:v>-78</x:v>
      </x:c>
      <x:c r="J178" s="49" t="n">
        <x:v>390</x:v>
      </x:c>
      <x:c r="K178" s="49" t="n">
        <x:v>24</x:v>
      </x:c>
      <x:c r="L178" s="49" t="n">
        <x:v>4</x:v>
      </x:c>
      <x:c r="M178" s="49" t="n">
        <x:v>0</x:v>
      </x:c>
      <x:c r="N178" s="49" t="n">
        <x:v>10.241</x:v>
      </x:c>
      <x:c r="O178" s="49" t="n">
        <x:v>2.7276</x:v>
      </x:c>
      <x:c r="P178" s="49" t="n">
        <x:f>IF(OR(N178="",O178=""),"",2*N178*O178/(N178+O178))</x:f>
        <x:v>4.307843807350061</x:v>
      </x:c>
      <x:c r="Q178" s="58" t="str">
        <x:v>1시간_측정_자유열람실1_오열에서_1.jpg; 1시간_측정_자유열람실1_오열에서_2.jpg</x:v>
      </x:c>
      <x:c r="R178" s="58" t="str">
        <x:v>기존 Excel 대응</x:v>
      </x:c>
      <x:c r="S178" s="59" t="str"/>
    </x:row>
    <x:row r="179" ht="15" hidden="0" customHeight="1">
      <x:c r="A179" s="46" t="str">
        <x:v>FREE1_1H_R1</x:v>
      </x:c>
      <x:c r="B179" s="47" t="str">
        <x:v>일반</x:v>
      </x:c>
      <x:c r="C179" s="47" t="str">
        <x:v>오픈열람실2</x:v>
      </x:c>
      <x:c r="D179" s="47" t="str">
        <x:v>자유열람실1 AP</x:v>
      </x:c>
      <x:c r="E179" s="47" t="str">
        <x:v>고정</x:v>
      </x:c>
      <x:c r="F179" s="48" t="n">
        <x:v>60</x:v>
      </x:c>
      <x:c r="G179" s="48" t="n">
        <x:v>1</x:v>
      </x:c>
      <x:c r="H179" s="48" t="n">
        <x:v>50</x:v>
      </x:c>
      <x:c r="I179" s="49" t="n">
        <x:v>-71</x:v>
      </x:c>
      <x:c r="J179" s="49" t="n">
        <x:v>390</x:v>
      </x:c>
      <x:c r="K179" s="49" t="n">
        <x:v>29</x:v>
      </x:c>
      <x:c r="L179" s="49" t="n">
        <x:v>5</x:v>
      </x:c>
      <x:c r="M179" s="49" t="n">
        <x:v>0</x:v>
      </x:c>
      <x:c r="N179" s="49" t="n">
        <x:v>11.099</x:v>
      </x:c>
      <x:c r="O179" s="49" t="n">
        <x:v>2.5117</x:v>
      </x:c>
      <x:c r="P179" s="49" t="n">
        <x:f>IF(OR(N179="",O179=""),"",2*N179*O179/(N179+O179))</x:f>
        <x:v>4.096388620717524</x:v>
      </x:c>
      <x:c r="Q179" s="58" t="str">
        <x:v>1시간_측정_자유열람실1_오열에서_1.jpg; 1시간_측정_자유열람실1_오열에서_2.jpg</x:v>
      </x:c>
      <x:c r="R179" s="58" t="str">
        <x:v>기존 Excel 대응</x:v>
      </x:c>
      <x:c r="S179" s="59" t="str"/>
    </x:row>
    <x:row r="180" ht="15" hidden="0" customHeight="1">
      <x:c r="A180" s="46" t="str">
        <x:v>FREE1_1H_R1</x:v>
      </x:c>
      <x:c r="B180" s="47" t="str">
        <x:v>일반</x:v>
      </x:c>
      <x:c r="C180" s="47" t="str">
        <x:v>오픈열람실2</x:v>
      </x:c>
      <x:c r="D180" s="47" t="str">
        <x:v>자유열람실1 AP</x:v>
      </x:c>
      <x:c r="E180" s="47" t="str">
        <x:v>고정</x:v>
      </x:c>
      <x:c r="F180" s="48" t="n">
        <x:v>60</x:v>
      </x:c>
      <x:c r="G180" s="48" t="n">
        <x:v>1</x:v>
      </x:c>
      <x:c r="H180" s="48" t="n">
        <x:v>51</x:v>
      </x:c>
      <x:c r="I180" s="49" t="n">
        <x:v>-74</x:v>
      </x:c>
      <x:c r="J180" s="49" t="n">
        <x:v>390</x:v>
      </x:c>
      <x:c r="K180" s="49" t="n">
        <x:v>28</x:v>
      </x:c>
      <x:c r="L180" s="49" t="n">
        <x:v>3</x:v>
      </x:c>
      <x:c r="M180" s="49" t="n">
        <x:v>0</x:v>
      </x:c>
      <x:c r="N180" s="49" t="n">
        <x:v>4.1922</x:v>
      </x:c>
      <x:c r="O180" s="49" t="n">
        <x:v>2.519</x:v>
      </x:c>
      <x:c r="P180" s="49" t="n">
        <x:f>IF(OR(N180="",O180=""),"",2*N180*O180/(N180+O180))</x:f>
        <x:v>3.1470234235308143</x:v>
      </x:c>
      <x:c r="Q180" s="58" t="str">
        <x:v>1시간_측정_자유열람실1_오열에서_1.jpg; 1시간_측정_자유열람실1_오열에서_2.jpg</x:v>
      </x:c>
      <x:c r="R180" s="58" t="str">
        <x:v>기존 Excel 대응</x:v>
      </x:c>
      <x:c r="S180" s="59" t="str"/>
    </x:row>
    <x:row r="181" ht="15" hidden="0" customHeight="1">
      <x:c r="A181" s="46" t="str">
        <x:v>FREE1_1H_R1</x:v>
      </x:c>
      <x:c r="B181" s="47" t="str">
        <x:v>일반</x:v>
      </x:c>
      <x:c r="C181" s="47" t="str">
        <x:v>오픈열람실2</x:v>
      </x:c>
      <x:c r="D181" s="47" t="str">
        <x:v>자유열람실1 AP</x:v>
      </x:c>
      <x:c r="E181" s="47" t="str">
        <x:v>고정</x:v>
      </x:c>
      <x:c r="F181" s="48" t="n">
        <x:v>60</x:v>
      </x:c>
      <x:c r="G181" s="48" t="n">
        <x:v>1</x:v>
      </x:c>
      <x:c r="H181" s="48" t="n">
        <x:v>52</x:v>
      </x:c>
      <x:c r="I181" s="49" t="n">
        <x:v>-75</x:v>
      </x:c>
      <x:c r="J181" s="49" t="n">
        <x:v>390</x:v>
      </x:c>
      <x:c r="K181" s="49" t="n">
        <x:v>30</x:v>
      </x:c>
      <x:c r="L181" s="49" t="n">
        <x:v>7</x:v>
      </x:c>
      <x:c r="M181" s="49" t="n">
        <x:v>0</x:v>
      </x:c>
      <x:c r="N181" s="49" t="n">
        <x:v>3.1325</x:v>
      </x:c>
      <x:c r="O181" s="49" t="n">
        <x:v>3.7642</x:v>
      </x:c>
      <x:c r="P181" s="49" t="n">
        <x:f>IF(OR(N181="",O181=""),"",2*N181*O181/(N181+O181))</x:f>
        <x:v>3.4194198674728495</x:v>
      </x:c>
      <x:c r="Q181" s="58" t="str">
        <x:v>1시간_측정_자유열람실1_오열에서_1.jpg; 1시간_측정_자유열람실1_오열에서_2.jpg</x:v>
      </x:c>
      <x:c r="R181" s="58" t="str">
        <x:v>기존 Excel 대응</x:v>
      </x:c>
      <x:c r="S181" s="59" t="str"/>
    </x:row>
    <x:row r="182" ht="15" hidden="0" customHeight="1">
      <x:c r="A182" s="46" t="str">
        <x:v>FREE1_1H_R1</x:v>
      </x:c>
      <x:c r="B182" s="47" t="str">
        <x:v>일반</x:v>
      </x:c>
      <x:c r="C182" s="47" t="str">
        <x:v>오픈열람실2</x:v>
      </x:c>
      <x:c r="D182" s="47" t="str">
        <x:v>자유열람실1 AP</x:v>
      </x:c>
      <x:c r="E182" s="47" t="str">
        <x:v>고정</x:v>
      </x:c>
      <x:c r="F182" s="48" t="n">
        <x:v>60</x:v>
      </x:c>
      <x:c r="G182" s="48" t="n">
        <x:v>1</x:v>
      </x:c>
      <x:c r="H182" s="48" t="n">
        <x:v>53</x:v>
      </x:c>
      <x:c r="I182" s="49" t="n">
        <x:v>-75</x:v>
      </x:c>
      <x:c r="J182" s="49" t="n">
        <x:v>390</x:v>
      </x:c>
      <x:c r="K182" s="49" t="n">
        <x:v>25</x:v>
      </x:c>
      <x:c r="L182" s="49" t="n">
        <x:v>6</x:v>
      </x:c>
      <x:c r="M182" s="49" t="n">
        <x:v>0</x:v>
      </x:c>
      <x:c r="N182" s="49" t="n">
        <x:v>9.4204</x:v>
      </x:c>
      <x:c r="O182" s="49" t="n">
        <x:v>2.9277</x:v>
      </x:c>
      <x:c r="P182" s="49" t="n">
        <x:f>IF(OR(N182="",O182=""),"",2*N182*O182/(N182+O182))</x:f>
        <x:v>4.467101024449105</x:v>
      </x:c>
      <x:c r="Q182" s="58" t="str">
        <x:v>1시간_측정_자유열람실1_오열에서_1.jpg; 1시간_측정_자유열람실1_오열에서_2.jpg</x:v>
      </x:c>
      <x:c r="R182" s="58" t="str">
        <x:v>기존 Excel 대응</x:v>
      </x:c>
      <x:c r="S182" s="59" t="str"/>
    </x:row>
    <x:row r="183" ht="15" hidden="0" customHeight="1">
      <x:c r="A183" s="46" t="str">
        <x:v>FREE1_1H_R1</x:v>
      </x:c>
      <x:c r="B183" s="47" t="str">
        <x:v>일반</x:v>
      </x:c>
      <x:c r="C183" s="47" t="str">
        <x:v>오픈열람실2</x:v>
      </x:c>
      <x:c r="D183" s="47" t="str">
        <x:v>자유열람실1 AP</x:v>
      </x:c>
      <x:c r="E183" s="47" t="str">
        <x:v>고정</x:v>
      </x:c>
      <x:c r="F183" s="48" t="n">
        <x:v>60</x:v>
      </x:c>
      <x:c r="G183" s="48" t="n">
        <x:v>1</x:v>
      </x:c>
      <x:c r="H183" s="48" t="n">
        <x:v>54</x:v>
      </x:c>
      <x:c r="I183" s="49" t="n">
        <x:v>-77</x:v>
      </x:c>
      <x:c r="J183" s="49" t="n">
        <x:v>458.75</x:v>
      </x:c>
      <x:c r="K183" s="49" t="n">
        <x:v>55</x:v>
      </x:c>
      <x:c r="L183" s="49" t="n">
        <x:v>10</x:v>
      </x:c>
      <x:c r="M183" s="49" t="n">
        <x:v>0</x:v>
      </x:c>
      <x:c r="N183" s="49" t="n">
        <x:v>4.3941</x:v>
      </x:c>
      <x:c r="O183" s="49" t="n">
        <x:v>2.9316</x:v>
      </x:c>
      <x:c r="P183" s="49" t="n">
        <x:f>IF(OR(N183="",O183=""),"",2*N183*O183/(N183+O183))</x:f>
        <x:v>3.516863524304845</x:v>
      </x:c>
      <x:c r="Q183" s="58" t="str">
        <x:v>1시간_측정_자유열람실1_오열에서_1.jpg; 1시간_측정_자유열람실1_오열에서_2.jpg</x:v>
      </x:c>
      <x:c r="R183" s="58" t="str">
        <x:v>기존 Excel 대응</x:v>
      </x:c>
      <x:c r="S183" s="59" t="str"/>
    </x:row>
    <x:row r="184" ht="15" hidden="0" customHeight="1">
      <x:c r="A184" s="46" t="str">
        <x:v>FREE1_1H_R1</x:v>
      </x:c>
      <x:c r="B184" s="47" t="str">
        <x:v>일반</x:v>
      </x:c>
      <x:c r="C184" s="47" t="str">
        <x:v>오픈열람실2</x:v>
      </x:c>
      <x:c r="D184" s="47" t="str">
        <x:v>자유열람실1 AP</x:v>
      </x:c>
      <x:c r="E184" s="47" t="str">
        <x:v>고정</x:v>
      </x:c>
      <x:c r="F184" s="48" t="n">
        <x:v>60</x:v>
      </x:c>
      <x:c r="G184" s="48" t="n">
        <x:v>1</x:v>
      </x:c>
      <x:c r="H184" s="48" t="n">
        <x:v>55</x:v>
      </x:c>
      <x:c r="I184" s="49" t="n">
        <x:v>-71</x:v>
      </x:c>
      <x:c r="J184" s="49" t="n">
        <x:v>390</x:v>
      </x:c>
      <x:c r="K184" s="49" t="n">
        <x:v>32</x:v>
      </x:c>
      <x:c r="L184" s="49" t="n">
        <x:v>7</x:v>
      </x:c>
      <x:c r="M184" s="49" t="n">
        <x:v>0</x:v>
      </x:c>
      <x:c r="N184" s="49" t="n">
        <x:v>3.9759</x:v>
      </x:c>
      <x:c r="O184" s="49" t="n">
        <x:v>1.6742</x:v>
      </x:c>
      <x:c r="P184" s="49" t="n">
        <x:f>IF(OR(N184="",O184=""),"",2*N184*O184/(N184+O184))</x:f>
        <x:v>2.356224413727191</x:v>
      </x:c>
      <x:c r="Q184" s="58" t="str">
        <x:v>1시간_측정_자유열람실1_오열에서_1.jpg; 1시간_측정_자유열람실1_오열에서_2.jpg</x:v>
      </x:c>
      <x:c r="R184" s="58" t="str">
        <x:v>기존 Excel 대응</x:v>
      </x:c>
      <x:c r="S184" s="59" t="str"/>
    </x:row>
    <x:row r="185" ht="15" hidden="0" customHeight="1">
      <x:c r="A185" s="46" t="str">
        <x:v>FREE1_1H_R1</x:v>
      </x:c>
      <x:c r="B185" s="47" t="str">
        <x:v>일반</x:v>
      </x:c>
      <x:c r="C185" s="47" t="str">
        <x:v>오픈열람실2</x:v>
      </x:c>
      <x:c r="D185" s="47" t="str">
        <x:v>자유열람실1 AP</x:v>
      </x:c>
      <x:c r="E185" s="47" t="str">
        <x:v>고정</x:v>
      </x:c>
      <x:c r="F185" s="48" t="n">
        <x:v>60</x:v>
      </x:c>
      <x:c r="G185" s="48" t="n">
        <x:v>1</x:v>
      </x:c>
      <x:c r="H185" s="48" t="n">
        <x:v>56</x:v>
      </x:c>
      <x:c r="I185" s="49" t="n">
        <x:v>-77</x:v>
      </x:c>
      <x:c r="J185" s="49" t="n">
        <x:v>390</x:v>
      </x:c>
      <x:c r="K185" s="49" t="n">
        <x:v>16</x:v>
      </x:c>
      <x:c r="L185" s="49" t="n">
        <x:v>3</x:v>
      </x:c>
      <x:c r="M185" s="49" t="n">
        <x:v>0</x:v>
      </x:c>
      <x:c r="N185" s="49" t="n">
        <x:v>9.8181</x:v>
      </x:c>
      <x:c r="O185" s="49" t="n">
        <x:v>3.7754</x:v>
      </x:c>
      <x:c r="P185" s="49" t="n">
        <x:f>IF(OR(N185="",O185=""),"",2*N185*O185/(N185+O185))</x:f>
        <x:v>5.453673408614411</x:v>
      </x:c>
      <x:c r="Q185" s="58" t="str">
        <x:v>1시간_측정_자유열람실1_오열에서_1.jpg; 1시간_측정_자유열람실1_오열에서_2.jpg</x:v>
      </x:c>
      <x:c r="R185" s="58" t="str">
        <x:v>기존 Excel 대응</x:v>
      </x:c>
      <x:c r="S185" s="59" t="str"/>
    </x:row>
    <x:row r="186" ht="15" hidden="0" customHeight="1">
      <x:c r="A186" s="46" t="str">
        <x:v>FREE1_1H_R1</x:v>
      </x:c>
      <x:c r="B186" s="47" t="str">
        <x:v>일반</x:v>
      </x:c>
      <x:c r="C186" s="47" t="str">
        <x:v>오픈열람실2</x:v>
      </x:c>
      <x:c r="D186" s="47" t="str">
        <x:v>자유열람실1 AP</x:v>
      </x:c>
      <x:c r="E186" s="47" t="str">
        <x:v>고정</x:v>
      </x:c>
      <x:c r="F186" s="48" t="n">
        <x:v>60</x:v>
      </x:c>
      <x:c r="G186" s="48" t="n">
        <x:v>1</x:v>
      </x:c>
      <x:c r="H186" s="48" t="n">
        <x:v>57</x:v>
      </x:c>
      <x:c r="I186" s="49" t="n">
        <x:v>-71</x:v>
      </x:c>
      <x:c r="J186" s="49" t="n">
        <x:v>390</x:v>
      </x:c>
      <x:c r="K186" s="49" t="n">
        <x:v>31</x:v>
      </x:c>
      <x:c r="L186" s="49" t="n">
        <x:v>3</x:v>
      </x:c>
      <x:c r="M186" s="49" t="n">
        <x:v>0</x:v>
      </x:c>
      <x:c r="N186" s="49" t="n">
        <x:v>9.1805</x:v>
      </x:c>
      <x:c r="O186" s="49" t="n">
        <x:v>3.1388</x:v>
      </x:c>
      <x:c r="P186" s="49" t="n">
        <x:f>IF(OR(N186="",O186=""),"",2*N186*O186/(N186+O186))</x:f>
        <x:v>4.678147849309619</x:v>
      </x:c>
      <x:c r="Q186" s="58" t="str">
        <x:v>1시간_측정_자유열람실1_오열에서_1.jpg; 1시간_측정_자유열람실1_오열에서_2.jpg</x:v>
      </x:c>
      <x:c r="R186" s="58" t="str">
        <x:v>기존 Excel 대응</x:v>
      </x:c>
      <x:c r="S186" s="59" t="str"/>
    </x:row>
    <x:row r="187" ht="15" hidden="0" customHeight="1">
      <x:c r="A187" s="46" t="str">
        <x:v>FREE1_1H_R1</x:v>
      </x:c>
      <x:c r="B187" s="47" t="str">
        <x:v>일반</x:v>
      </x:c>
      <x:c r="C187" s="47" t="str">
        <x:v>오픈열람실2</x:v>
      </x:c>
      <x:c r="D187" s="47" t="str">
        <x:v>자유열람실1 AP</x:v>
      </x:c>
      <x:c r="E187" s="47" t="str">
        <x:v>고정</x:v>
      </x:c>
      <x:c r="F187" s="48" t="n">
        <x:v>60</x:v>
      </x:c>
      <x:c r="G187" s="48" t="n">
        <x:v>1</x:v>
      </x:c>
      <x:c r="H187" s="48" t="n">
        <x:v>58</x:v>
      </x:c>
      <x:c r="I187" s="49" t="n">
        <x:v>-74</x:v>
      </x:c>
      <x:c r="J187" s="49" t="n">
        <x:v>390</x:v>
      </x:c>
      <x:c r="K187" s="49" t="n">
        <x:v>24</x:v>
      </x:c>
      <x:c r="L187" s="49" t="n">
        <x:v>3</x:v>
      </x:c>
      <x:c r="M187" s="49" t="n">
        <x:v>0</x:v>
      </x:c>
      <x:c r="N187" s="49" t="n">
        <x:v>8.7841</x:v>
      </x:c>
      <x:c r="O187" s="49" t="n">
        <x:v>3.3551</x:v>
      </x:c>
      <x:c r="P187" s="49" t="n">
        <x:f>IF(OR(N187="",O187=""),"",2*N187*O187/(N187+O187))</x:f>
        <x:v>4.85559738862528</x:v>
      </x:c>
      <x:c r="Q187" s="58" t="str">
        <x:v>1시간_측정_자유열람실1_오열에서_1.jpg; 1시간_측정_자유열람실1_오열에서_2.jpg</x:v>
      </x:c>
      <x:c r="R187" s="58" t="str">
        <x:v>기존 Excel 대응</x:v>
      </x:c>
      <x:c r="S187" s="59" t="str"/>
    </x:row>
    <x:row r="188" ht="15" hidden="0" customHeight="1">
      <x:c r="A188" s="46" t="str">
        <x:v>FREE1_1H_R1</x:v>
      </x:c>
      <x:c r="B188" s="47" t="str">
        <x:v>일반</x:v>
      </x:c>
      <x:c r="C188" s="47" t="str">
        <x:v>오픈열람실2</x:v>
      </x:c>
      <x:c r="D188" s="47" t="str">
        <x:v>자유열람실1 AP</x:v>
      </x:c>
      <x:c r="E188" s="47" t="str">
        <x:v>고정</x:v>
      </x:c>
      <x:c r="F188" s="48" t="n">
        <x:v>60</x:v>
      </x:c>
      <x:c r="G188" s="48" t="n">
        <x:v>1</x:v>
      </x:c>
      <x:c r="H188" s="48" t="n">
        <x:v>59</x:v>
      </x:c>
      <x:c r="I188" s="49" t="n">
        <x:v>-75</x:v>
      </x:c>
      <x:c r="J188" s="49" t="n">
        <x:v>390</x:v>
      </x:c>
      <x:c r="K188" s="49" t="n">
        <x:v>20</x:v>
      </x:c>
      <x:c r="L188" s="49" t="n">
        <x:v>5</x:v>
      </x:c>
      <x:c r="M188" s="49" t="n">
        <x:v>0</x:v>
      </x:c>
      <x:c r="N188" s="49" t="n">
        <x:v>3.3419</x:v>
      </x:c>
      <x:c r="O188" s="49" t="n">
        <x:v>4.1853</x:v>
      </x:c>
      <x:c r="P188" s="49" t="n">
        <x:f>IF(OR(N188="",O188=""),"",2*N188*O188/(N188+O188))</x:f>
        <x:v>3.71634979009459</x:v>
      </x:c>
      <x:c r="Q188" s="58" t="str">
        <x:v>1시간_측정_자유열람실1_오열에서_1.jpg; 1시간_측정_자유열람실1_오열에서_2.jpg</x:v>
      </x:c>
      <x:c r="R188" s="58" t="str">
        <x:v>기존 Excel 대응</x:v>
      </x:c>
      <x:c r="S188" s="59" t="str"/>
    </x:row>
    <x:row r="189" ht="15" hidden="0" customHeight="1">
      <x:c r="A189" s="46" t="str">
        <x:v>FREE1_1H_R1</x:v>
      </x:c>
      <x:c r="B189" s="47" t="str">
        <x:v>일반</x:v>
      </x:c>
      <x:c r="C189" s="47" t="str">
        <x:v>오픈열람실2</x:v>
      </x:c>
      <x:c r="D189" s="47" t="str">
        <x:v>자유열람실1 AP</x:v>
      </x:c>
      <x:c r="E189" s="47" t="str">
        <x:v>고정</x:v>
      </x:c>
      <x:c r="F189" s="48" t="n">
        <x:v>60</x:v>
      </x:c>
      <x:c r="G189" s="48" t="n">
        <x:v>1</x:v>
      </x:c>
      <x:c r="H189" s="48" t="n">
        <x:v>60</x:v>
      </x:c>
      <x:c r="I189" s="49" t="n">
        <x:v>-77</x:v>
      </x:c>
      <x:c r="J189" s="49" t="n">
        <x:v>390</x:v>
      </x:c>
      <x:c r="K189" s="49" t="n">
        <x:v>32</x:v>
      </x:c>
      <x:c r="L189" s="49" t="n">
        <x:v>6</x:v>
      </x:c>
      <x:c r="M189" s="49" t="n">
        <x:v>0</x:v>
      </x:c>
      <x:c r="N189" s="49" t="n">
        <x:v>7.3289</x:v>
      </x:c>
      <x:c r="O189" s="49" t="n">
        <x:v>2.5092</x:v>
      </x:c>
      <x:c r="P189" s="49" t="n">
        <x:f>IF(OR(N189="",O189=""),"",2*N189*O189/(N189+O189))</x:f>
        <x:v>3.7384608572793523</x:v>
      </x:c>
      <x:c r="Q189" s="58" t="str">
        <x:v>1시간_측정_자유열람실1_오열에서_1.jpg; 1시간_측정_자유열람실1_오열에서_2.jpg</x:v>
      </x:c>
      <x:c r="R189" s="58" t="str">
        <x:v>기존 Excel 대응</x:v>
      </x:c>
      <x:c r="S189" s="59" t="str"/>
    </x:row>
    <x:row r="190" ht="15" hidden="0" customHeight="1">
      <x:c r="A190" s="46" t="str">
        <x:v>FREE1_1H_R1</x:v>
      </x:c>
      <x:c r="B190" s="47" t="str">
        <x:v>일반</x:v>
      </x:c>
      <x:c r="C190" s="47" t="str">
        <x:v>오픈열람실2</x:v>
      </x:c>
      <x:c r="D190" s="47" t="str">
        <x:v>자유열람실1 AP</x:v>
      </x:c>
      <x:c r="E190" s="47" t="str">
        <x:v>고정</x:v>
      </x:c>
      <x:c r="F190" s="48" t="n">
        <x:v>60</x:v>
      </x:c>
      <x:c r="G190" s="48" t="n">
        <x:v>1</x:v>
      </x:c>
      <x:c r="H190" s="48" t="n">
        <x:v>61</x:v>
      </x:c>
      <x:c r="I190" s="49" t="n">
        <x:v>-72</x:v>
      </x:c>
      <x:c r="J190" s="49" t="n">
        <x:v>390</x:v>
      </x:c>
      <x:c r="K190" s="49" t="n">
        <x:v>28</x:v>
      </x:c>
      <x:c r="L190" s="49" t="n">
        <x:v>5</x:v>
      </x:c>
      <x:c r="M190" s="49" t="n">
        <x:v>0</x:v>
      </x:c>
      <x:c r="N190" s="49" t="n">
        <x:v>3.3454</x:v>
      </x:c>
      <x:c r="O190" s="49" t="n">
        <x:v>2.9198</x:v>
      </x:c>
      <x:c r="P190" s="49" t="n">
        <x:f>IF(OR(N190="",O190=""),"",2*N190*O190/(N190+O190))</x:f>
        <x:v>3.1181443273957736</x:v>
      </x:c>
      <x:c r="Q190" s="58" t="str">
        <x:v>1시간_측정_자유열람실1_오열에서_1.jpg; 1시간_측정_자유열람실1_오열에서_2.jpg</x:v>
      </x:c>
      <x:c r="R190" s="58" t="str">
        <x:v>기존 Excel 대응</x:v>
      </x:c>
      <x:c r="S190" s="59" t="str"/>
    </x:row>
    <x:row r="191" ht="15" hidden="0" customHeight="1">
      <x:c r="A191" s="46" t="str">
        <x:v>FREE1_1H_R1</x:v>
      </x:c>
      <x:c r="B191" s="47" t="str">
        <x:v>일반</x:v>
      </x:c>
      <x:c r="C191" s="47" t="str">
        <x:v>오픈열람실2</x:v>
      </x:c>
      <x:c r="D191" s="47" t="str">
        <x:v>자유열람실1 AP</x:v>
      </x:c>
      <x:c r="E191" s="47" t="str">
        <x:v>고정</x:v>
      </x:c>
      <x:c r="F191" s="48" t="n">
        <x:v>60</x:v>
      </x:c>
      <x:c r="G191" s="48" t="n">
        <x:v>1</x:v>
      </x:c>
      <x:c r="H191" s="48" t="n">
        <x:v>62</x:v>
      </x:c>
      <x:c r="I191" s="49" t="n">
        <x:v>-73</x:v>
      </x:c>
      <x:c r="J191" s="49" t="n">
        <x:v>390</x:v>
      </x:c>
      <x:c r="K191" s="49" t="n">
        <x:v>34</x:v>
      </x:c>
      <x:c r="L191" s="49" t="n">
        <x:v>5</x:v>
      </x:c>
      <x:c r="M191" s="49" t="n">
        <x:v>0</x:v>
      </x:c>
      <x:c r="N191" s="49" t="n">
        <x:v>3.1376</x:v>
      </x:c>
      <x:c r="O191" s="49" t="n">
        <x:v>3.1489</x:v>
      </x:c>
      <x:c r="P191" s="49" t="n">
        <x:f>IF(OR(N191="",O191=""),"",2*N191*O191/(N191+O191))</x:f>
        <x:v>3.143239844110395</x:v>
      </x:c>
      <x:c r="Q191" s="58" t="str">
        <x:v>1시간_측정_자유열람실1_오열에서_1.jpg; 1시간_측정_자유열람실1_오열에서_2.jpg</x:v>
      </x:c>
      <x:c r="R191" s="58" t="str">
        <x:v>기존 Excel 대응</x:v>
      </x:c>
      <x:c r="S191" s="59" t="str"/>
    </x:row>
    <x:row r="192" ht="15" hidden="0" customHeight="1">
      <x:c r="A192" s="46" t="str">
        <x:v>FREE1_1H_R1</x:v>
      </x:c>
      <x:c r="B192" s="47" t="str">
        <x:v>일반</x:v>
      </x:c>
      <x:c r="C192" s="47" t="str">
        <x:v>오픈열람실2</x:v>
      </x:c>
      <x:c r="D192" s="47" t="str">
        <x:v>자유열람실1 AP</x:v>
      </x:c>
      <x:c r="E192" s="47" t="str">
        <x:v>고정</x:v>
      </x:c>
      <x:c r="F192" s="48" t="n">
        <x:v>60</x:v>
      </x:c>
      <x:c r="G192" s="48" t="n">
        <x:v>1</x:v>
      </x:c>
      <x:c r="H192" s="48" t="n">
        <x:v>63</x:v>
      </x:c>
      <x:c r="I192" s="49" t="n">
        <x:v>-74</x:v>
      </x:c>
      <x:c r="J192" s="49" t="n">
        <x:v>458.75</x:v>
      </x:c>
      <x:c r="K192" s="49" t="n">
        <x:v>20</x:v>
      </x:c>
      <x:c r="L192" s="49" t="n">
        <x:v>4</x:v>
      </x:c>
      <x:c r="M192" s="49" t="n">
        <x:v>0</x:v>
      </x:c>
      <x:c r="N192" s="49" t="n">
        <x:v>5.4428</x:v>
      </x:c>
      <x:c r="O192" s="49" t="n">
        <x:v>4.1842</x:v>
      </x:c>
      <x:c r="P192" s="49" t="n">
        <x:f>IF(OR(N192="",O192=""),"",2*N192*O192/(N192+O192))</x:f>
        <x:v>4.7312275392126315</x:v>
      </x:c>
      <x:c r="Q192" s="58" t="str">
        <x:v>1시간_측정_자유열람실1_오열에서_1.jpg; 1시간_측정_자유열람실1_오열에서_2.jpg</x:v>
      </x:c>
      <x:c r="R192" s="58" t="str">
        <x:v>기존 Excel 대응</x:v>
      </x:c>
      <x:c r="S192" s="59" t="str"/>
    </x:row>
    <x:row r="193" ht="15" hidden="0" customHeight="1">
      <x:c r="A193" s="46" t="str">
        <x:v>FREE1_1H_R1</x:v>
      </x:c>
      <x:c r="B193" s="47" t="str">
        <x:v>일반</x:v>
      </x:c>
      <x:c r="C193" s="47" t="str">
        <x:v>오픈열람실2</x:v>
      </x:c>
      <x:c r="D193" s="47" t="str">
        <x:v>자유열람실1 AP</x:v>
      </x:c>
      <x:c r="E193" s="47" t="str">
        <x:v>고정</x:v>
      </x:c>
      <x:c r="F193" s="48" t="n">
        <x:v>60</x:v>
      </x:c>
      <x:c r="G193" s="48" t="n">
        <x:v>1</x:v>
      </x:c>
      <x:c r="H193" s="48" t="n">
        <x:v>64</x:v>
      </x:c>
      <x:c r="I193" s="49" t="n">
        <x:v>-71</x:v>
      </x:c>
      <x:c r="J193" s="49" t="n">
        <x:v>424.25</x:v>
      </x:c>
      <x:c r="K193" s="49" t="n">
        <x:v>17</x:v>
      </x:c>
      <x:c r="L193" s="49" t="n">
        <x:v>7</x:v>
      </x:c>
      <x:c r="M193" s="49" t="n">
        <x:v>0</x:v>
      </x:c>
      <x:c r="N193" s="49" t="n">
        <x:v>4.8081</x:v>
      </x:c>
      <x:c r="O193" s="49" t="n">
        <x:v>2.7194</x:v>
      </x:c>
      <x:c r="P193" s="49" t="n">
        <x:f>IF(OR(N193="",O193=""),"",2*N193*O193/(N193+O193))</x:f>
        <x:v>3.4739680212553967</x:v>
      </x:c>
      <x:c r="Q193" s="58" t="str">
        <x:v>1시간_측정_자유열람실1_오열에서_1.jpg; 1시간_측정_자유열람실1_오열에서_2.jpg</x:v>
      </x:c>
      <x:c r="R193" s="58" t="str">
        <x:v>기존 Excel 대응</x:v>
      </x:c>
      <x:c r="S193" s="59" t="str"/>
    </x:row>
    <x:row r="194" ht="15" hidden="0" customHeight="1">
      <x:c r="A194" s="46" t="str">
        <x:v>FREE1_1H_R1</x:v>
      </x:c>
      <x:c r="B194" s="47" t="str">
        <x:v>일반</x:v>
      </x:c>
      <x:c r="C194" s="47" t="str">
        <x:v>오픈열람실2</x:v>
      </x:c>
      <x:c r="D194" s="47" t="str">
        <x:v>자유열람실1 AP</x:v>
      </x:c>
      <x:c r="E194" s="47" t="str">
        <x:v>고정</x:v>
      </x:c>
      <x:c r="F194" s="48" t="n">
        <x:v>60</x:v>
      </x:c>
      <x:c r="G194" s="48" t="n">
        <x:v>1</x:v>
      </x:c>
      <x:c r="H194" s="48" t="n">
        <x:v>65</x:v>
      </x:c>
      <x:c r="I194" s="49" t="n">
        <x:v>-71</x:v>
      </x:c>
      <x:c r="J194" s="49" t="n">
        <x:v>390</x:v>
      </x:c>
      <x:c r="K194" s="49" t="n">
        <x:v>28</x:v>
      </x:c>
      <x:c r="L194" s="49" t="n">
        <x:v>7</x:v>
      </x:c>
      <x:c r="M194" s="49" t="n">
        <x:v>0</x:v>
      </x:c>
      <x:c r="N194" s="49" t="n">
        <x:v>6.0615</x:v>
      </x:c>
      <x:c r="O194" s="49" t="n">
        <x:v>2.2948</x:v>
      </x:c>
      <x:c r="P194" s="49" t="n">
        <x:f>IF(OR(N194="",O194=""),"",2*N194*O194/(N194+O194))</x:f>
        <x:v>3.329207950887355</x:v>
      </x:c>
      <x:c r="Q194" s="58" t="str">
        <x:v>1시간_측정_자유열람실1_오열에서_1.jpg; 1시간_측정_자유열람실1_오열에서_2.jpg</x:v>
      </x:c>
      <x:c r="R194" s="58" t="str">
        <x:v>기존 Excel 대응</x:v>
      </x:c>
      <x:c r="S194" s="59" t="str"/>
    </x:row>
    <x:row r="195" ht="15" hidden="0" customHeight="1">
      <x:c r="A195" s="46" t="str">
        <x:v>FREE1_1H_R1</x:v>
      </x:c>
      <x:c r="B195" s="47" t="str">
        <x:v>일반</x:v>
      </x:c>
      <x:c r="C195" s="47" t="str">
        <x:v>오픈열람실2</x:v>
      </x:c>
      <x:c r="D195" s="47" t="str">
        <x:v>자유열람실1 AP</x:v>
      </x:c>
      <x:c r="E195" s="47" t="str">
        <x:v>고정</x:v>
      </x:c>
      <x:c r="F195" s="48" t="n">
        <x:v>60</x:v>
      </x:c>
      <x:c r="G195" s="48" t="n">
        <x:v>1</x:v>
      </x:c>
      <x:c r="H195" s="48" t="n">
        <x:v>66</x:v>
      </x:c>
      <x:c r="I195" s="49" t="n">
        <x:v>-75</x:v>
      </x:c>
      <x:c r="J195" s="49" t="n">
        <x:v>390</x:v>
      </x:c>
      <x:c r="K195" s="49" t="n">
        <x:v>31</x:v>
      </x:c>
      <x:c r="L195" s="49" t="n">
        <x:v>7</x:v>
      </x:c>
      <x:c r="M195" s="49" t="n">
        <x:v>0</x:v>
      </x:c>
      <x:c r="N195" s="49" t="n">
        <x:v>5.8619</x:v>
      </x:c>
      <x:c r="O195" s="49" t="n">
        <x:v>4.1844</x:v>
      </x:c>
      <x:c r="P195" s="49" t="n">
        <x:f>IF(OR(N195="",O195=""),"",2*N195*O195/(N195+O195))</x:f>
        <x:v>4.883098127668894</x:v>
      </x:c>
      <x:c r="Q195" s="58" t="str">
        <x:v>1시간_측정_자유열람실1_오열에서_1.jpg; 1시간_측정_자유열람실1_오열에서_2.jpg</x:v>
      </x:c>
      <x:c r="R195" s="58" t="str">
        <x:v>기존 Excel 대응</x:v>
      </x:c>
      <x:c r="S195" s="59" t="str"/>
    </x:row>
    <x:row r="196" ht="15" hidden="0" customHeight="1">
      <x:c r="A196" s="46" t="str">
        <x:v>FREE1_1H_R2</x:v>
      </x:c>
      <x:c r="B196" s="47" t="str">
        <x:v>일반</x:v>
      </x:c>
      <x:c r="C196" s="47" t="str">
        <x:v>오픈열람실2</x:v>
      </x:c>
      <x:c r="D196" s="47" t="str">
        <x:v>자유열람실1 AP</x:v>
      </x:c>
      <x:c r="E196" s="47" t="str">
        <x:v>고정</x:v>
      </x:c>
      <x:c r="F196" s="48" t="n">
        <x:v>60</x:v>
      </x:c>
      <x:c r="G196" s="48" t="n">
        <x:v>2</x:v>
      </x:c>
      <x:c r="H196" s="48" t="n">
        <x:v>1</x:v>
      </x:c>
      <x:c r="I196" s="49" t="n">
        <x:v>-76</x:v>
      </x:c>
      <x:c r="J196" s="49" t="n">
        <x:v>458.75</x:v>
      </x:c>
      <x:c r="K196" s="49" t="n">
        <x:v>76</x:v>
      </x:c>
      <x:c r="L196" s="49" t="n">
        <x:v>36</x:v>
      </x:c>
      <x:c r="M196" s="49" t="n">
        <x:v>20</x:v>
      </x:c>
      <x:c r="N196" s="49" t="n">
        <x:v>0.9638</x:v>
      </x:c>
      <x:c r="O196" s="49" t="n">
        <x:v>1.3479</x:v>
      </x:c>
      <x:c r="P196" s="49" t="n">
        <x:f>IF(OR(N196="",O196=""),"",2*N196*O196/(N196+O196))</x:f>
        <x:v>1.1239399749102392</x:v>
      </x:c>
      <x:c r="Q196" s="58" t="str">
        <x:v>1시간_측정_자유열람실1_오열에서_3.jpg; 1시간_측정_자유열람실1_오열에서_4.jpg</x:v>
      </x:c>
      <x:c r="R196" s="58" t="str">
        <x:v>기존 Excel 대응</x:v>
      </x:c>
      <x:c r="S196" s="59" t="str"/>
    </x:row>
    <x:row r="197" ht="15" hidden="0" customHeight="1">
      <x:c r="A197" s="46" t="str">
        <x:v>FREE1_1H_R2</x:v>
      </x:c>
      <x:c r="B197" s="47" t="str">
        <x:v>일반</x:v>
      </x:c>
      <x:c r="C197" s="47" t="str">
        <x:v>오픈열람실2</x:v>
      </x:c>
      <x:c r="D197" s="47" t="str">
        <x:v>자유열람실1 AP</x:v>
      </x:c>
      <x:c r="E197" s="47" t="str">
        <x:v>고정</x:v>
      </x:c>
      <x:c r="F197" s="48" t="n">
        <x:v>60</x:v>
      </x:c>
      <x:c r="G197" s="48" t="n">
        <x:v>2</x:v>
      </x:c>
      <x:c r="H197" s="48" t="n">
        <x:v>2</x:v>
      </x:c>
      <x:c r="I197" s="49" t="n">
        <x:v>-76</x:v>
      </x:c>
      <x:c r="J197" s="49" t="n">
        <x:v>458.75</x:v>
      </x:c>
      <x:c r="K197" s="49" t="n">
        <x:v>18</x:v>
      </x:c>
      <x:c r="L197" s="49" t="n">
        <x:v>4</x:v>
      </x:c>
      <x:c r="M197" s="49" t="n">
        <x:v>0</x:v>
      </x:c>
      <x:c r="N197" s="49" t="n">
        <x:v>9.8408</x:v>
      </x:c>
      <x:c r="O197" s="49" t="n">
        <x:v>5.2326</x:v>
      </x:c>
      <x:c r="P197" s="49" t="n">
        <x:f>IF(OR(N197="",O197=""),"",2*N197*O197/(N197+O197))</x:f>
        <x:v>6.832296639112609</x:v>
      </x:c>
      <x:c r="Q197" s="58" t="str">
        <x:v>1시간_측정_자유열람실1_오열에서_3.jpg; 1시간_측정_자유열람실1_오열에서_4.jpg</x:v>
      </x:c>
      <x:c r="R197" s="58" t="str">
        <x:v>기존 Excel 대응</x:v>
      </x:c>
      <x:c r="S197" s="59" t="str"/>
    </x:row>
    <x:row r="198" ht="15" hidden="0" customHeight="1">
      <x:c r="A198" s="46" t="str">
        <x:v>FREE1_1H_R2</x:v>
      </x:c>
      <x:c r="B198" s="47" t="str">
        <x:v>일반</x:v>
      </x:c>
      <x:c r="C198" s="47" t="str">
        <x:v>오픈열람실2</x:v>
      </x:c>
      <x:c r="D198" s="47" t="str">
        <x:v>자유열람실1 AP</x:v>
      </x:c>
      <x:c r="E198" s="47" t="str">
        <x:v>고정</x:v>
      </x:c>
      <x:c r="F198" s="48" t="n">
        <x:v>60</x:v>
      </x:c>
      <x:c r="G198" s="48" t="n">
        <x:v>2</x:v>
      </x:c>
      <x:c r="H198" s="48" t="n">
        <x:v>3</x:v>
      </x:c>
      <x:c r="I198" s="49" t="n">
        <x:v>-75</x:v>
      </x:c>
      <x:c r="J198" s="49" t="n">
        <x:v>390</x:v>
      </x:c>
      <x:c r="K198" s="49" t="n">
        <x:v>29</x:v>
      </x:c>
      <x:c r="L198" s="49" t="n">
        <x:v>3</x:v>
      </x:c>
      <x:c r="M198" s="49" t="n">
        <x:v>0</x:v>
      </x:c>
      <x:c r="N198" s="49" t="n">
        <x:v>9.424</x:v>
      </x:c>
      <x:c r="O198" s="49" t="n">
        <x:v>4.609</x:v>
      </x:c>
      <x:c r="P198" s="49" t="n">
        <x:f>IF(OR(N198="",O198=""),"",2*N198*O198/(N198+O198))</x:f>
        <x:v>6.190439107817288</x:v>
      </x:c>
      <x:c r="Q198" s="58" t="str">
        <x:v>1시간_측정_자유열람실1_오열에서_3.jpg; 1시간_측정_자유열람실1_오열에서_4.jpg</x:v>
      </x:c>
      <x:c r="R198" s="58" t="str">
        <x:v>기존 Excel 대응</x:v>
      </x:c>
      <x:c r="S198" s="59" t="str"/>
    </x:row>
    <x:row r="199" ht="15" hidden="0" customHeight="1">
      <x:c r="A199" s="46" t="str">
        <x:v>FREE1_1H_R2</x:v>
      </x:c>
      <x:c r="B199" s="47" t="str">
        <x:v>일반</x:v>
      </x:c>
      <x:c r="C199" s="47" t="str">
        <x:v>오픈열람실2</x:v>
      </x:c>
      <x:c r="D199" s="47" t="str">
        <x:v>자유열람실1 AP</x:v>
      </x:c>
      <x:c r="E199" s="47" t="str">
        <x:v>고정</x:v>
      </x:c>
      <x:c r="F199" s="48" t="n">
        <x:v>60</x:v>
      </x:c>
      <x:c r="G199" s="48" t="n">
        <x:v>2</x:v>
      </x:c>
      <x:c r="H199" s="48" t="n">
        <x:v>4</x:v>
      </x:c>
      <x:c r="I199" s="49" t="n">
        <x:v>-75</x:v>
      </x:c>
      <x:c r="J199" s="49" t="n">
        <x:v>390</x:v>
      </x:c>
      <x:c r="K199" s="49" t="n">
        <x:v>19</x:v>
      </x:c>
      <x:c r="L199" s="49" t="n">
        <x:v>10</x:v>
      </x:c>
      <x:c r="M199" s="49" t="n">
        <x:v>0</x:v>
      </x:c>
      <x:c r="N199" s="49" t="n">
        <x:v>5.8563</x:v>
      </x:c>
      <x:c r="O199" s="49" t="n">
        <x:v>5.6587</x:v>
      </x:c>
      <x:c r="P199" s="49" t="n">
        <x:f>IF(OR(N199="",O199=""),"",2*N199*O199/(N199+O199))</x:f>
        <x:v>5.755804569691707</x:v>
      </x:c>
      <x:c r="Q199" s="58" t="str">
        <x:v>1시간_측정_자유열람실1_오열에서_3.jpg; 1시간_측정_자유열람실1_오열에서_4.jpg</x:v>
      </x:c>
      <x:c r="R199" s="58" t="str">
        <x:v>기존 Excel 대응</x:v>
      </x:c>
      <x:c r="S199" s="59" t="str"/>
    </x:row>
    <x:row r="200" ht="15" hidden="0" customHeight="1">
      <x:c r="A200" s="46" t="str">
        <x:v>FREE1_1H_R2</x:v>
      </x:c>
      <x:c r="B200" s="47" t="str">
        <x:v>일반</x:v>
      </x:c>
      <x:c r="C200" s="47" t="str">
        <x:v>오픈열람실2</x:v>
      </x:c>
      <x:c r="D200" s="47" t="str">
        <x:v>자유열람실1 AP</x:v>
      </x:c>
      <x:c r="E200" s="47" t="str">
        <x:v>고정</x:v>
      </x:c>
      <x:c r="F200" s="48" t="n">
        <x:v>60</x:v>
      </x:c>
      <x:c r="G200" s="48" t="n">
        <x:v>2</x:v>
      </x:c>
      <x:c r="H200" s="48" t="n">
        <x:v>5</x:v>
      </x:c>
      <x:c r="I200" s="49" t="n">
        <x:v>-72</x:v>
      </x:c>
      <x:c r="J200" s="49" t="n">
        <x:v>390</x:v>
      </x:c>
      <x:c r="K200" s="49" t="n">
        <x:v>35</x:v>
      </x:c>
      <x:c r="L200" s="49" t="n">
        <x:v>8</x:v>
      </x:c>
      <x:c r="M200" s="49" t="n">
        <x:v>0</x:v>
      </x:c>
      <x:c r="N200" s="49" t="n">
        <x:v>9.6316</x:v>
      </x:c>
      <x:c r="O200" s="49" t="n">
        <x:v>8.5853</x:v>
      </x:c>
      <x:c r="P200" s="49" t="n">
        <x:f>IF(OR(N200="",O200=""),"",2*N200*O200/(N200+O200))</x:f>
        <x:v>9.078402525127766</x:v>
      </x:c>
      <x:c r="Q200" s="58" t="str">
        <x:v>1시간_측정_자유열람실1_오열에서_3.jpg; 1시간_측정_자유열람실1_오열에서_4.jpg</x:v>
      </x:c>
      <x:c r="R200" s="58" t="str">
        <x:v>기존 Excel 대응</x:v>
      </x:c>
      <x:c r="S200" s="59" t="str"/>
    </x:row>
    <x:row r="201" ht="15" hidden="0" customHeight="1">
      <x:c r="A201" s="46" t="str">
        <x:v>FREE1_1H_R2</x:v>
      </x:c>
      <x:c r="B201" s="47" t="str">
        <x:v>일반</x:v>
      </x:c>
      <x:c r="C201" s="47" t="str">
        <x:v>오픈열람실2</x:v>
      </x:c>
      <x:c r="D201" s="47" t="str">
        <x:v>자유열람실1 AP</x:v>
      </x:c>
      <x:c r="E201" s="47" t="str">
        <x:v>고정</x:v>
      </x:c>
      <x:c r="F201" s="48" t="n">
        <x:v>60</x:v>
      </x:c>
      <x:c r="G201" s="48" t="n">
        <x:v>2</x:v>
      </x:c>
      <x:c r="H201" s="48" t="n">
        <x:v>6</x:v>
      </x:c>
      <x:c r="I201" s="49" t="n">
        <x:v>-77</x:v>
      </x:c>
      <x:c r="J201" s="49" t="n">
        <x:v>390</x:v>
      </x:c>
      <x:c r="K201" s="49" t="n">
        <x:v>16</x:v>
      </x:c>
      <x:c r="L201" s="49" t="n">
        <x:v>4</x:v>
      </x:c>
      <x:c r="M201" s="49" t="n">
        <x:v>0</x:v>
      </x:c>
      <x:c r="N201" s="49" t="n">
        <x:v>10.0419</x:v>
      </x:c>
      <x:c r="O201" s="49" t="n">
        <x:v>4.821</x:v>
      </x:c>
      <x:c r="P201" s="49" t="n">
        <x:f>IF(OR(N201="",O201=""),"",2*N201*O201/(N201+O201))</x:f>
        <x:v>6.514475627232908</x:v>
      </x:c>
      <x:c r="Q201" s="58" t="str">
        <x:v>1시간_측정_자유열람실1_오열에서_3.jpg; 1시간_측정_자유열람실1_오열에서_4.jpg</x:v>
      </x:c>
      <x:c r="R201" s="58" t="str">
        <x:v>기존 Excel 대응</x:v>
      </x:c>
      <x:c r="S201" s="59" t="str"/>
    </x:row>
    <x:row r="202" ht="15" hidden="0" customHeight="1">
      <x:c r="A202" s="46" t="str">
        <x:v>FREE1_1H_R2</x:v>
      </x:c>
      <x:c r="B202" s="47" t="str">
        <x:v>일반</x:v>
      </x:c>
      <x:c r="C202" s="47" t="str">
        <x:v>오픈열람실2</x:v>
      </x:c>
      <x:c r="D202" s="47" t="str">
        <x:v>자유열람실1 AP</x:v>
      </x:c>
      <x:c r="E202" s="47" t="str">
        <x:v>고정</x:v>
      </x:c>
      <x:c r="F202" s="48" t="n">
        <x:v>60</x:v>
      </x:c>
      <x:c r="G202" s="48" t="n">
        <x:v>2</x:v>
      </x:c>
      <x:c r="H202" s="48" t="n">
        <x:v>7</x:v>
      </x:c>
      <x:c r="I202" s="49" t="n">
        <x:v>-75</x:v>
      </x:c>
      <x:c r="J202" s="49" t="n">
        <x:v>390</x:v>
      </x:c>
      <x:c r="K202" s="49" t="n">
        <x:v>19</x:v>
      </x:c>
      <x:c r="L202" s="49" t="n">
        <x:v>5</x:v>
      </x:c>
      <x:c r="M202" s="49" t="n">
        <x:v>0</x:v>
      </x:c>
      <x:c r="N202" s="49" t="n">
        <x:v>9.0034</x:v>
      </x:c>
      <x:c r="O202" s="49" t="n">
        <x:v>3.7578</x:v>
      </x:c>
      <x:c r="P202" s="49" t="n">
        <x:f>IF(OR(N202="",O202=""),"",2*N202*O202/(N202+O202))</x:f>
        <x:v>5.3024757107482055</x:v>
      </x:c>
      <x:c r="Q202" s="58" t="str">
        <x:v>1시간_측정_자유열람실1_오열에서_3.jpg; 1시간_측정_자유열람실1_오열에서_4.jpg</x:v>
      </x:c>
      <x:c r="R202" s="58" t="str">
        <x:v>기존 Excel 대응</x:v>
      </x:c>
      <x:c r="S202" s="59" t="str"/>
    </x:row>
    <x:row r="203" ht="15" hidden="0" customHeight="1">
      <x:c r="A203" s="46" t="str">
        <x:v>FREE1_1H_R2</x:v>
      </x:c>
      <x:c r="B203" s="47" t="str">
        <x:v>일반</x:v>
      </x:c>
      <x:c r="C203" s="47" t="str">
        <x:v>오픈열람실2</x:v>
      </x:c>
      <x:c r="D203" s="47" t="str">
        <x:v>자유열람실1 AP</x:v>
      </x:c>
      <x:c r="E203" s="47" t="str">
        <x:v>고정</x:v>
      </x:c>
      <x:c r="F203" s="48" t="n">
        <x:v>60</x:v>
      </x:c>
      <x:c r="G203" s="48" t="n">
        <x:v>2</x:v>
      </x:c>
      <x:c r="H203" s="48" t="n">
        <x:v>8</x:v>
      </x:c>
      <x:c r="I203" s="49" t="n">
        <x:v>-73</x:v>
      </x:c>
      <x:c r="J203" s="49" t="n">
        <x:v>390</x:v>
      </x:c>
      <x:c r="K203" s="49" t="n">
        <x:v>23</x:v>
      </x:c>
      <x:c r="L203" s="49" t="n">
        <x:v>8</x:v>
      </x:c>
      <x:c r="M203" s="49" t="n">
        <x:v>0</x:v>
      </x:c>
      <x:c r="N203" s="49" t="n">
        <x:v>12.9884</x:v>
      </x:c>
      <x:c r="O203" s="49" t="n">
        <x:v>5.6659</x:v>
      </x:c>
      <x:c r="P203" s="49" t="n">
        <x:f>IF(OR(N203="",O203=""),"",2*N203*O203/(N203+O203))</x:f>
        <x:v>7.8899744895278845</x:v>
      </x:c>
      <x:c r="Q203" s="58" t="str">
        <x:v>1시간_측정_자유열람실1_오열에서_3.jpg; 1시간_측정_자유열람실1_오열에서_4.jpg</x:v>
      </x:c>
      <x:c r="R203" s="58" t="str">
        <x:v>기존 Excel 대응</x:v>
      </x:c>
      <x:c r="S203" s="59" t="str"/>
    </x:row>
    <x:row r="204" ht="15" hidden="0" customHeight="1">
      <x:c r="A204" s="46" t="str">
        <x:v>FREE1_1H_R2</x:v>
      </x:c>
      <x:c r="B204" s="47" t="str">
        <x:v>일반</x:v>
      </x:c>
      <x:c r="C204" s="47" t="str">
        <x:v>오픈열람실2</x:v>
      </x:c>
      <x:c r="D204" s="47" t="str">
        <x:v>자유열람실1 AP</x:v>
      </x:c>
      <x:c r="E204" s="47" t="str">
        <x:v>고정</x:v>
      </x:c>
      <x:c r="F204" s="48" t="n">
        <x:v>60</x:v>
      </x:c>
      <x:c r="G204" s="48" t="n">
        <x:v>2</x:v>
      </x:c>
      <x:c r="H204" s="48" t="n">
        <x:v>9</x:v>
      </x:c>
      <x:c r="I204" s="49" t="n">
        <x:v>-71</x:v>
      </x:c>
      <x:c r="J204" s="49" t="n">
        <x:v>424.25</x:v>
      </x:c>
      <x:c r="K204" s="49" t="n">
        <x:v>12</x:v>
      </x:c>
      <x:c r="L204" s="49" t="n">
        <x:v>5</x:v>
      </x:c>
      <x:c r="M204" s="49" t="n">
        <x:v>0</x:v>
      </x:c>
      <x:c r="N204" s="49" t="n">
        <x:v>13.3619</x:v>
      </x:c>
      <x:c r="O204" s="49" t="n">
        <x:v>6.4806</x:v>
      </x:c>
      <x:c r="P204" s="49" t="n">
        <x:f>IF(OR(N204="",O204=""),"",2*N204*O204/(N204+O204))</x:f>
        <x:v>8.728046278442736</x:v>
      </x:c>
      <x:c r="Q204" s="58" t="str">
        <x:v>1시간_측정_자유열람실1_오열에서_3.jpg; 1시간_측정_자유열람실1_오열에서_4.jpg</x:v>
      </x:c>
      <x:c r="R204" s="58" t="str">
        <x:v>기존 Excel 대응</x:v>
      </x:c>
      <x:c r="S204" s="59" t="str"/>
    </x:row>
    <x:row r="205" ht="15" hidden="0" customHeight="1">
      <x:c r="A205" s="46" t="str">
        <x:v>FREE1_1H_R2</x:v>
      </x:c>
      <x:c r="B205" s="47" t="str">
        <x:v>일반</x:v>
      </x:c>
      <x:c r="C205" s="47" t="str">
        <x:v>오픈열람실2</x:v>
      </x:c>
      <x:c r="D205" s="47" t="str">
        <x:v>자유열람실1 AP</x:v>
      </x:c>
      <x:c r="E205" s="47" t="str">
        <x:v>고정</x:v>
      </x:c>
      <x:c r="F205" s="48" t="n">
        <x:v>60</x:v>
      </x:c>
      <x:c r="G205" s="48" t="n">
        <x:v>2</x:v>
      </x:c>
      <x:c r="H205" s="48" t="n">
        <x:v>10</x:v>
      </x:c>
      <x:c r="I205" s="49" t="n">
        <x:v>-75</x:v>
      </x:c>
      <x:c r="J205" s="49" t="n">
        <x:v>390</x:v>
      </x:c>
      <x:c r="K205" s="49" t="n">
        <x:v>16</x:v>
      </x:c>
      <x:c r="L205" s="49" t="n">
        <x:v>4</x:v>
      </x:c>
      <x:c r="M205" s="49" t="n">
        <x:v>0</x:v>
      </x:c>
      <x:c r="N205" s="49" t="n">
        <x:v>11.7155</x:v>
      </x:c>
      <x:c r="O205" s="49" t="n">
        <x:v>6.4962</x:v>
      </x:c>
      <x:c r="P205" s="49" t="n">
        <x:f>IF(OR(N205="",O205=""),"",2*N205*O205/(N205+O205))</x:f>
        <x:v>8.357949131602211</x:v>
      </x:c>
      <x:c r="Q205" s="58" t="str">
        <x:v>1시간_측정_자유열람실1_오열에서_3.jpg; 1시간_측정_자유열람실1_오열에서_4.jpg</x:v>
      </x:c>
      <x:c r="R205" s="58" t="str">
        <x:v>기존 Excel 대응</x:v>
      </x:c>
      <x:c r="S205" s="59" t="str"/>
    </x:row>
    <x:row r="206" ht="15" hidden="0" customHeight="1">
      <x:c r="A206" s="46" t="str">
        <x:v>FREE1_1H_R2</x:v>
      </x:c>
      <x:c r="B206" s="47" t="str">
        <x:v>일반</x:v>
      </x:c>
      <x:c r="C206" s="47" t="str">
        <x:v>오픈열람실2</x:v>
      </x:c>
      <x:c r="D206" s="47" t="str">
        <x:v>자유열람실1 AP</x:v>
      </x:c>
      <x:c r="E206" s="47" t="str">
        <x:v>고정</x:v>
      </x:c>
      <x:c r="F206" s="48" t="n">
        <x:v>60</x:v>
      </x:c>
      <x:c r="G206" s="48" t="n">
        <x:v>2</x:v>
      </x:c>
      <x:c r="H206" s="48" t="n">
        <x:v>11</x:v>
      </x:c>
      <x:c r="I206" s="49" t="n">
        <x:v>-71</x:v>
      </x:c>
      <x:c r="J206" s="49" t="n">
        <x:v>424.25</x:v>
      </x:c>
      <x:c r="K206" s="49" t="n">
        <x:v>6</x:v>
      </x:c>
      <x:c r="L206" s="49" t="n">
        <x:v>3</x:v>
      </x:c>
      <x:c r="M206" s="49" t="n">
        <x:v>0</x:v>
      </x:c>
      <x:c r="N206" s="49" t="n">
        <x:v>12.7645</x:v>
      </x:c>
      <x:c r="O206" s="49" t="n">
        <x:v>9.0028</x:v>
      </x:c>
      <x:c r="P206" s="49" t="n">
        <x:f>IF(OR(N206="",O206=""),"",2*N206*O206/(N206+O206))</x:f>
        <x:v>10.55861228540058</x:v>
      </x:c>
      <x:c r="Q206" s="58" t="str">
        <x:v>1시간_측정_자유열람실1_오열에서_3.jpg; 1시간_측정_자유열람실1_오열에서_4.jpg</x:v>
      </x:c>
      <x:c r="R206" s="58" t="str">
        <x:v>기존 Excel 대응</x:v>
      </x:c>
      <x:c r="S206" s="59" t="str"/>
    </x:row>
    <x:row r="207" ht="15" hidden="0" customHeight="1">
      <x:c r="A207" s="46" t="str">
        <x:v>FREE1_1H_R2</x:v>
      </x:c>
      <x:c r="B207" s="47" t="str">
        <x:v>일반</x:v>
      </x:c>
      <x:c r="C207" s="47" t="str">
        <x:v>오픈열람실2</x:v>
      </x:c>
      <x:c r="D207" s="47" t="str">
        <x:v>자유열람실1 AP</x:v>
      </x:c>
      <x:c r="E207" s="47" t="str">
        <x:v>고정</x:v>
      </x:c>
      <x:c r="F207" s="48" t="n">
        <x:v>60</x:v>
      </x:c>
      <x:c r="G207" s="48" t="n">
        <x:v>2</x:v>
      </x:c>
      <x:c r="H207" s="48" t="n">
        <x:v>12</x:v>
      </x:c>
      <x:c r="I207" s="49" t="n">
        <x:v>-73</x:v>
      </x:c>
      <x:c r="J207" s="49" t="n">
        <x:v>390</x:v>
      </x:c>
      <x:c r="K207" s="49" t="n">
        <x:v>19</x:v>
      </x:c>
      <x:c r="L207" s="49" t="n">
        <x:v>4</x:v>
      </x:c>
      <x:c r="M207" s="49" t="n">
        <x:v>0</x:v>
      </x:c>
      <x:c r="N207" s="49" t="n">
        <x:v>9.8371</x:v>
      </x:c>
      <x:c r="O207" s="49" t="n">
        <x:v>9.2102</x:v>
      </x:c>
      <x:c r="P207" s="49" t="n">
        <x:f>IF(OR(N207="",O207=""),"",2*N207*O207/(N207+O207))</x:f>
        <x:v>9.51333348243583</x:v>
      </x:c>
      <x:c r="Q207" s="58" t="str">
        <x:v>1시간_측정_자유열람실1_오열에서_3.jpg; 1시간_측정_자유열람실1_오열에서_4.jpg</x:v>
      </x:c>
      <x:c r="R207" s="58" t="str">
        <x:v>기존 Excel 대응</x:v>
      </x:c>
      <x:c r="S207" s="59" t="str"/>
    </x:row>
    <x:row r="208" ht="15" hidden="0" customHeight="1">
      <x:c r="A208" s="46" t="str">
        <x:v>FREE1_1H_R2</x:v>
      </x:c>
      <x:c r="B208" s="47" t="str">
        <x:v>일반</x:v>
      </x:c>
      <x:c r="C208" s="47" t="str">
        <x:v>오픈열람실2</x:v>
      </x:c>
      <x:c r="D208" s="47" t="str">
        <x:v>자유열람실1 AP</x:v>
      </x:c>
      <x:c r="E208" s="47" t="str">
        <x:v>고정</x:v>
      </x:c>
      <x:c r="F208" s="48" t="n">
        <x:v>60</x:v>
      </x:c>
      <x:c r="G208" s="48" t="n">
        <x:v>2</x:v>
      </x:c>
      <x:c r="H208" s="48" t="n">
        <x:v>13</x:v>
      </x:c>
      <x:c r="I208" s="49" t="n">
        <x:v>-74</x:v>
      </x:c>
      <x:c r="J208" s="49" t="n">
        <x:v>390</x:v>
      </x:c>
      <x:c r="K208" s="49" t="n">
        <x:v>8</x:v>
      </x:c>
      <x:c r="L208" s="49" t="n">
        <x:v>4</x:v>
      </x:c>
      <x:c r="M208" s="49" t="n">
        <x:v>0</x:v>
      </x:c>
      <x:c r="N208" s="49" t="n">
        <x:v>9.4265</x:v>
      </x:c>
      <x:c r="O208" s="49" t="n">
        <x:v>8.1711</x:v>
      </x:c>
      <x:c r="P208" s="49" t="n">
        <x:f>IF(OR(N208="",O208=""),"",2*N208*O208/(N208+O208))</x:f>
        <x:v>8.754020338000636</x:v>
      </x:c>
      <x:c r="Q208" s="58" t="str">
        <x:v>1시간_측정_자유열람실1_오열에서_3.jpg; 1시간_측정_자유열람실1_오열에서_4.jpg</x:v>
      </x:c>
      <x:c r="R208" s="58" t="str">
        <x:v>기존 Excel 대응</x:v>
      </x:c>
      <x:c r="S208" s="59" t="str"/>
    </x:row>
    <x:row r="209" ht="15" hidden="0" customHeight="1">
      <x:c r="A209" s="46" t="str">
        <x:v>FREE1_1H_R2</x:v>
      </x:c>
      <x:c r="B209" s="47" t="str">
        <x:v>일반</x:v>
      </x:c>
      <x:c r="C209" s="47" t="str">
        <x:v>오픈열람실2</x:v>
      </x:c>
      <x:c r="D209" s="47" t="str">
        <x:v>자유열람실1 AP</x:v>
      </x:c>
      <x:c r="E209" s="47" t="str">
        <x:v>고정</x:v>
      </x:c>
      <x:c r="F209" s="48" t="n">
        <x:v>60</x:v>
      </x:c>
      <x:c r="G209" s="48" t="n">
        <x:v>2</x:v>
      </x:c>
      <x:c r="H209" s="48" t="n">
        <x:v>14</x:v>
      </x:c>
      <x:c r="I209" s="49" t="n">
        <x:v>-76</x:v>
      </x:c>
      <x:c r="J209" s="49" t="n">
        <x:v>390</x:v>
      </x:c>
      <x:c r="K209" s="49" t="n">
        <x:v>8</x:v>
      </x:c>
      <x:c r="L209" s="49" t="n">
        <x:v>4</x:v>
      </x:c>
      <x:c r="M209" s="49" t="n">
        <x:v>0</x:v>
      </x:c>
      <x:c r="N209" s="49" t="n">
        <x:v>7.9403</x:v>
      </x:c>
      <x:c r="O209" s="49" t="n">
        <x:v>6.2744</x:v>
      </x:c>
      <x:c r="P209" s="49" t="n">
        <x:f>IF(OR(N209="",O209=""),"",2*N209*O209/(N209+O209))</x:f>
        <x:v>7.009731942285099</x:v>
      </x:c>
      <x:c r="Q209" s="58" t="str">
        <x:v>1시간_측정_자유열람실1_오열에서_3.jpg; 1시간_측정_자유열람실1_오열에서_4.jpg</x:v>
      </x:c>
      <x:c r="R209" s="58" t="str">
        <x:v>기존 Excel 대응</x:v>
      </x:c>
      <x:c r="S209" s="59" t="str"/>
    </x:row>
    <x:row r="210" ht="15" hidden="0" customHeight="1">
      <x:c r="A210" s="46" t="str">
        <x:v>FREE1_1H_R2</x:v>
      </x:c>
      <x:c r="B210" s="47" t="str">
        <x:v>일반</x:v>
      </x:c>
      <x:c r="C210" s="47" t="str">
        <x:v>오픈열람실2</x:v>
      </x:c>
      <x:c r="D210" s="47" t="str">
        <x:v>자유열람실1 AP</x:v>
      </x:c>
      <x:c r="E210" s="47" t="str">
        <x:v>고정</x:v>
      </x:c>
      <x:c r="F210" s="48" t="n">
        <x:v>60</x:v>
      </x:c>
      <x:c r="G210" s="48" t="n">
        <x:v>2</x:v>
      </x:c>
      <x:c r="H210" s="48" t="n">
        <x:v>15</x:v>
      </x:c>
      <x:c r="I210" s="49" t="n">
        <x:v>-74</x:v>
      </x:c>
      <x:c r="J210" s="49" t="n">
        <x:v>390</x:v>
      </x:c>
      <x:c r="K210" s="49" t="n">
        <x:v>16</x:v>
      </x:c>
      <x:c r="L210" s="49" t="n">
        <x:v>3</x:v>
      </x:c>
      <x:c r="M210" s="49" t="n">
        <x:v>0</x:v>
      </x:c>
      <x:c r="N210" s="49" t="n">
        <x:v>12.3512</x:v>
      </x:c>
      <x:c r="O210" s="49" t="n">
        <x:v>6.7001</x:v>
      </x:c>
      <x:c r="P210" s="49" t="n">
        <x:f>IF(OR(N210="",O210=""),"",2*N210*O210/(N210+O210))</x:f>
        <x:v>8.687520024355294</x:v>
      </x:c>
      <x:c r="Q210" s="58" t="str">
        <x:v>1시간_측정_자유열람실1_오열에서_3.jpg; 1시간_측정_자유열람실1_오열에서_4.jpg</x:v>
      </x:c>
      <x:c r="R210" s="58" t="str">
        <x:v>기존 Excel 대응</x:v>
      </x:c>
      <x:c r="S210" s="59" t="str"/>
    </x:row>
    <x:row r="211" ht="15" hidden="0" customHeight="1">
      <x:c r="A211" s="46" t="str">
        <x:v>FREE1_1H_R2</x:v>
      </x:c>
      <x:c r="B211" s="47" t="str">
        <x:v>일반</x:v>
      </x:c>
      <x:c r="C211" s="47" t="str">
        <x:v>오픈열람실2</x:v>
      </x:c>
      <x:c r="D211" s="47" t="str">
        <x:v>자유열람실1 AP</x:v>
      </x:c>
      <x:c r="E211" s="47" t="str">
        <x:v>고정</x:v>
      </x:c>
      <x:c r="F211" s="48" t="n">
        <x:v>60</x:v>
      </x:c>
      <x:c r="G211" s="48" t="n">
        <x:v>2</x:v>
      </x:c>
      <x:c r="H211" s="48" t="n">
        <x:v>16</x:v>
      </x:c>
      <x:c r="I211" s="49" t="n">
        <x:v>-74</x:v>
      </x:c>
      <x:c r="J211" s="49" t="n">
        <x:v>390</x:v>
      </x:c>
      <x:c r="K211" s="49" t="n">
        <x:v>11</x:v>
      </x:c>
      <x:c r="L211" s="49" t="n">
        <x:v>4</x:v>
      </x:c>
      <x:c r="M211" s="49" t="n">
        <x:v>0</x:v>
      </x:c>
      <x:c r="N211" s="49" t="n">
        <x:v>3.7359</x:v>
      </x:c>
      <x:c r="O211" s="49" t="n">
        <x:v>5.8657</x:v>
      </x:c>
      <x:c r="P211" s="49" t="n">
        <x:f>IF(OR(N211="",O211=""),"",2*N211*O211/(N211+O211))</x:f>
        <x:v>4.5645868667722045</x:v>
      </x:c>
      <x:c r="Q211" s="58" t="str">
        <x:v>1시간_측정_자유열람실1_오열에서_3.jpg; 1시간_측정_자유열람실1_오열에서_4.jpg</x:v>
      </x:c>
      <x:c r="R211" s="58" t="str">
        <x:v>기존 Excel 대응</x:v>
      </x:c>
      <x:c r="S211" s="59" t="str"/>
    </x:row>
    <x:row r="212" ht="15" hidden="0" customHeight="1">
      <x:c r="A212" s="46" t="str">
        <x:v>FREE1_1H_R2</x:v>
      </x:c>
      <x:c r="B212" s="47" t="str">
        <x:v>일반</x:v>
      </x:c>
      <x:c r="C212" s="47" t="str">
        <x:v>오픈열람실2</x:v>
      </x:c>
      <x:c r="D212" s="47" t="str">
        <x:v>자유열람실1 AP</x:v>
      </x:c>
      <x:c r="E212" s="47" t="str">
        <x:v>고정</x:v>
      </x:c>
      <x:c r="F212" s="48" t="n">
        <x:v>60</x:v>
      </x:c>
      <x:c r="G212" s="48" t="n">
        <x:v>2</x:v>
      </x:c>
      <x:c r="H212" s="48" t="n">
        <x:v>17</x:v>
      </x:c>
      <x:c r="I212" s="49" t="n">
        <x:v>-71</x:v>
      </x:c>
      <x:c r="J212" s="49" t="n">
        <x:v>390</x:v>
      </x:c>
      <x:c r="K212" s="49" t="n">
        <x:v>16</x:v>
      </x:c>
      <x:c r="L212" s="49" t="n">
        <x:v>3</x:v>
      </x:c>
      <x:c r="M212" s="49" t="n">
        <x:v>0</x:v>
      </x:c>
      <x:c r="N212" s="49" t="n">
        <x:v>8.7817</x:v>
      </x:c>
      <x:c r="O212" s="49" t="n">
        <x:v>5.67</x:v>
      </x:c>
      <x:c r="P212" s="49" t="n">
        <x:f>IF(OR(N212="",O212=""),"",2*N212*O212/(N212+O212))</x:f>
        <x:v>6.890848689081562</x:v>
      </x:c>
      <x:c r="Q212" s="58" t="str">
        <x:v>1시간_측정_자유열람실1_오열에서_3.jpg; 1시간_측정_자유열람실1_오열에서_4.jpg</x:v>
      </x:c>
      <x:c r="R212" s="58" t="str">
        <x:v>기존 Excel 대응</x:v>
      </x:c>
      <x:c r="S212" s="59" t="str"/>
    </x:row>
    <x:row r="213" ht="15" hidden="0" customHeight="1">
      <x:c r="A213" s="46" t="str">
        <x:v>FREE1_1H_R2</x:v>
      </x:c>
      <x:c r="B213" s="47" t="str">
        <x:v>일반</x:v>
      </x:c>
      <x:c r="C213" s="47" t="str">
        <x:v>오픈열람실2</x:v>
      </x:c>
      <x:c r="D213" s="47" t="str">
        <x:v>자유열람실1 AP</x:v>
      </x:c>
      <x:c r="E213" s="47" t="str">
        <x:v>고정</x:v>
      </x:c>
      <x:c r="F213" s="48" t="n">
        <x:v>60</x:v>
      </x:c>
      <x:c r="G213" s="48" t="n">
        <x:v>2</x:v>
      </x:c>
      <x:c r="H213" s="48" t="n">
        <x:v>18</x:v>
      </x:c>
      <x:c r="I213" s="49" t="n">
        <x:v>-74</x:v>
      </x:c>
      <x:c r="J213" s="49" t="n">
        <x:v>390</x:v>
      </x:c>
      <x:c r="K213" s="49" t="n">
        <x:v>7</x:v>
      </x:c>
      <x:c r="L213" s="49" t="n">
        <x:v>5</x:v>
      </x:c>
      <x:c r="M213" s="49" t="n">
        <x:v>0</x:v>
      </x:c>
      <x:c r="N213" s="49" t="n">
        <x:v>10.4615</x:v>
      </x:c>
      <x:c r="O213" s="49" t="n">
        <x:v>5.8533</x:v>
      </x:c>
      <x:c r="P213" s="49" t="n">
        <x:f>IF(OR(N213="",O213=""),"",2*N213*O213/(N213+O213))</x:f>
        <x:v>7.506594987373427</x:v>
      </x:c>
      <x:c r="Q213" s="58" t="str">
        <x:v>1시간_측정_자유열람실1_오열에서_3.jpg; 1시간_측정_자유열람실1_오열에서_4.jpg</x:v>
      </x:c>
      <x:c r="R213" s="58" t="str">
        <x:v>기존 Excel 대응</x:v>
      </x:c>
      <x:c r="S213" s="59" t="str"/>
    </x:row>
    <x:row r="214" ht="15" hidden="0" customHeight="1">
      <x:c r="A214" s="46" t="str">
        <x:v>FREE1_1H_R2</x:v>
      </x:c>
      <x:c r="B214" s="47" t="str">
        <x:v>일반</x:v>
      </x:c>
      <x:c r="C214" s="47" t="str">
        <x:v>오픈열람실2</x:v>
      </x:c>
      <x:c r="D214" s="47" t="str">
        <x:v>자유열람실1 AP</x:v>
      </x:c>
      <x:c r="E214" s="47" t="str">
        <x:v>고정</x:v>
      </x:c>
      <x:c r="F214" s="48" t="n">
        <x:v>60</x:v>
      </x:c>
      <x:c r="G214" s="48" t="n">
        <x:v>2</x:v>
      </x:c>
      <x:c r="H214" s="48" t="n">
        <x:v>19</x:v>
      </x:c>
      <x:c r="I214" s="49" t="n">
        <x:v>-72</x:v>
      </x:c>
      <x:c r="J214" s="49" t="n">
        <x:v>390</x:v>
      </x:c>
      <x:c r="K214" s="49" t="n">
        <x:v>9</x:v>
      </x:c>
      <x:c r="L214" s="49" t="n">
        <x:v>3</x:v>
      </x:c>
      <x:c r="M214" s="49" t="n">
        <x:v>0</x:v>
      </x:c>
      <x:c r="N214" s="49" t="n">
        <x:v>11.093</x:v>
      </x:c>
      <x:c r="O214" s="49" t="n">
        <x:v>5.4266</x:v>
      </x:c>
      <x:c r="P214" s="49" t="n">
        <x:f>IF(OR(N214="",O214=""),"",2*N214*O214/(N214+O214))</x:f>
        <x:v>7.287982009249618</x:v>
      </x:c>
      <x:c r="Q214" s="58" t="str">
        <x:v>1시간_측정_자유열람실1_오열에서_3.jpg; 1시간_측정_자유열람실1_오열에서_4.jpg</x:v>
      </x:c>
      <x:c r="R214" s="58" t="str">
        <x:v>기존 Excel 대응</x:v>
      </x:c>
      <x:c r="S214" s="59" t="str"/>
    </x:row>
    <x:row r="215" ht="15" hidden="0" customHeight="1">
      <x:c r="A215" s="46" t="str">
        <x:v>FREE1_1H_R2</x:v>
      </x:c>
      <x:c r="B215" s="47" t="str">
        <x:v>일반</x:v>
      </x:c>
      <x:c r="C215" s="47" t="str">
        <x:v>오픈열람실2</x:v>
      </x:c>
      <x:c r="D215" s="47" t="str">
        <x:v>자유열람실1 AP</x:v>
      </x:c>
      <x:c r="E215" s="47" t="str">
        <x:v>고정</x:v>
      </x:c>
      <x:c r="F215" s="48" t="n">
        <x:v>60</x:v>
      </x:c>
      <x:c r="G215" s="48" t="n">
        <x:v>2</x:v>
      </x:c>
      <x:c r="H215" s="48" t="n">
        <x:v>20</x:v>
      </x:c>
      <x:c r="I215" s="49" t="n">
        <x:v>-71</x:v>
      </x:c>
      <x:c r="J215" s="49" t="n">
        <x:v>390</x:v>
      </x:c>
      <x:c r="K215" s="49" t="n">
        <x:v>5</x:v>
      </x:c>
      <x:c r="L215" s="49" t="n">
        <x:v>4</x:v>
      </x:c>
      <x:c r="M215" s="49" t="n">
        <x:v>0</x:v>
      </x:c>
      <x:c r="N215" s="49" t="n">
        <x:v>13.178</x:v>
      </x:c>
      <x:c r="O215" s="49" t="n">
        <x:v>7.1237</x:v>
      </x:c>
      <x:c r="P215" s="49" t="n">
        <x:f>IF(OR(N215="",O215=""),"",2*N215*O215/(N215+O215))</x:f>
        <x:v>9.248104208021989</x:v>
      </x:c>
      <x:c r="Q215" s="58" t="str">
        <x:v>1시간_측정_자유열람실1_오열에서_3.jpg; 1시간_측정_자유열람실1_오열에서_4.jpg</x:v>
      </x:c>
      <x:c r="R215" s="58" t="str">
        <x:v>기존 Excel 대응</x:v>
      </x:c>
      <x:c r="S215" s="59" t="str"/>
    </x:row>
    <x:row r="216" ht="15" hidden="0" customHeight="1">
      <x:c r="A216" s="46" t="str">
        <x:v>FREE1_1H_R2</x:v>
      </x:c>
      <x:c r="B216" s="47" t="str">
        <x:v>일반</x:v>
      </x:c>
      <x:c r="C216" s="47" t="str">
        <x:v>오픈열람실2</x:v>
      </x:c>
      <x:c r="D216" s="47" t="str">
        <x:v>자유열람실1 AP</x:v>
      </x:c>
      <x:c r="E216" s="47" t="str">
        <x:v>고정</x:v>
      </x:c>
      <x:c r="F216" s="48" t="n">
        <x:v>60</x:v>
      </x:c>
      <x:c r="G216" s="48" t="n">
        <x:v>2</x:v>
      </x:c>
      <x:c r="H216" s="48" t="n">
        <x:v>21</x:v>
      </x:c>
      <x:c r="I216" s="49" t="n">
        <x:v>-71</x:v>
      </x:c>
      <x:c r="J216" s="49" t="n">
        <x:v>390</x:v>
      </x:c>
      <x:c r="K216" s="49" t="n">
        <x:v>6</x:v>
      </x:c>
      <x:c r="L216" s="49" t="n">
        <x:v>3</x:v>
      </x:c>
      <x:c r="M216" s="49" t="n">
        <x:v>0</x:v>
      </x:c>
      <x:c r="N216" s="49" t="n">
        <x:v>13.1843</x:v>
      </x:c>
      <x:c r="O216" s="49" t="n">
        <x:v>7.1151</x:v>
      </x:c>
      <x:c r="P216" s="49" t="n">
        <x:f>IF(OR(N216="",O216=""),"",2*N216*O216/(N216+O216))</x:f>
        <x:v>9.242402527168291</x:v>
      </x:c>
      <x:c r="Q216" s="58" t="str">
        <x:v>1시간_측정_자유열람실1_오열에서_3.jpg; 1시간_측정_자유열람실1_오열에서_4.jpg</x:v>
      </x:c>
      <x:c r="R216" s="58" t="str">
        <x:v>기존 Excel 대응</x:v>
      </x:c>
      <x:c r="S216" s="59" t="str"/>
    </x:row>
    <x:row r="217" ht="15" hidden="0" customHeight="1">
      <x:c r="A217" s="46" t="str">
        <x:v>FREE1_1H_R2</x:v>
      </x:c>
      <x:c r="B217" s="47" t="str">
        <x:v>일반</x:v>
      </x:c>
      <x:c r="C217" s="47" t="str">
        <x:v>오픈열람실2</x:v>
      </x:c>
      <x:c r="D217" s="47" t="str">
        <x:v>자유열람실1 AP</x:v>
      </x:c>
      <x:c r="E217" s="47" t="str">
        <x:v>고정</x:v>
      </x:c>
      <x:c r="F217" s="48" t="n">
        <x:v>60</x:v>
      </x:c>
      <x:c r="G217" s="48" t="n">
        <x:v>2</x:v>
      </x:c>
      <x:c r="H217" s="48" t="n">
        <x:v>22</x:v>
      </x:c>
      <x:c r="I217" s="49" t="n">
        <x:v>-72</x:v>
      </x:c>
      <x:c r="J217" s="49" t="n">
        <x:v>424.25</x:v>
      </x:c>
      <x:c r="K217" s="49" t="n">
        <x:v>7</x:v>
      </x:c>
      <x:c r="L217" s="49" t="n">
        <x:v>3</x:v>
      </x:c>
      <x:c r="M217" s="49" t="n">
        <x:v>0</x:v>
      </x:c>
      <x:c r="N217" s="49" t="n">
        <x:v>3.3432</x:v>
      </x:c>
      <x:c r="O217" s="49" t="n">
        <x:v>5.6521</x:v>
      </x:c>
      <x:c r="P217" s="49" t="n">
        <x:f>IF(OR(N217="",O217=""),"",2*N217*O217/(N217+O217))</x:f>
        <x:v>4.201327519927073</x:v>
      </x:c>
      <x:c r="Q217" s="58" t="str">
        <x:v>1시간_측정_자유열람실1_오열에서_3.jpg; 1시간_측정_자유열람실1_오열에서_4.jpg</x:v>
      </x:c>
      <x:c r="R217" s="58" t="str">
        <x:v>기존 Excel 대응</x:v>
      </x:c>
      <x:c r="S217" s="59" t="str"/>
    </x:row>
    <x:row r="218" ht="15" hidden="0" customHeight="1">
      <x:c r="A218" s="46" t="str">
        <x:v>FREE1_1H_R2</x:v>
      </x:c>
      <x:c r="B218" s="47" t="str">
        <x:v>일반</x:v>
      </x:c>
      <x:c r="C218" s="47" t="str">
        <x:v>오픈열람실2</x:v>
      </x:c>
      <x:c r="D218" s="47" t="str">
        <x:v>자유열람실1 AP</x:v>
      </x:c>
      <x:c r="E218" s="47" t="str">
        <x:v>고정</x:v>
      </x:c>
      <x:c r="F218" s="48" t="n">
        <x:v>60</x:v>
      </x:c>
      <x:c r="G218" s="48" t="n">
        <x:v>2</x:v>
      </x:c>
      <x:c r="H218" s="48" t="n">
        <x:v>23</x:v>
      </x:c>
      <x:c r="I218" s="49" t="n">
        <x:v>-75</x:v>
      </x:c>
      <x:c r="J218" s="49" t="n">
        <x:v>390</x:v>
      </x:c>
      <x:c r="K218" s="49" t="n">
        <x:v>9</x:v>
      </x:c>
      <x:c r="L218" s="49" t="n">
        <x:v>3</x:v>
      </x:c>
      <x:c r="M218" s="49" t="n">
        <x:v>0</x:v>
      </x:c>
      <x:c r="N218" s="49" t="n">
        <x:v>8.7892</x:v>
      </x:c>
      <x:c r="O218" s="49" t="n">
        <x:v>5.0573</x:v>
      </x:c>
      <x:c r="P218" s="49" t="n">
        <x:f>IF(OR(N218="",O218=""),"",2*N218*O218/(N218+O218))</x:f>
        <x:v>6.420340325714079</x:v>
      </x:c>
      <x:c r="Q218" s="58" t="str">
        <x:v>1시간_측정_자유열람실1_오열에서_3.jpg; 1시간_측정_자유열람실1_오열에서_4.jpg</x:v>
      </x:c>
      <x:c r="R218" s="58" t="str">
        <x:v>기존 Excel 대응</x:v>
      </x:c>
      <x:c r="S218" s="59" t="str"/>
    </x:row>
    <x:row r="219" ht="15" hidden="0" customHeight="1">
      <x:c r="A219" s="46" t="str">
        <x:v>FREE1_1H_R2</x:v>
      </x:c>
      <x:c r="B219" s="47" t="str">
        <x:v>일반</x:v>
      </x:c>
      <x:c r="C219" s="47" t="str">
        <x:v>오픈열람실2</x:v>
      </x:c>
      <x:c r="D219" s="47" t="str">
        <x:v>자유열람실1 AP</x:v>
      </x:c>
      <x:c r="E219" s="47" t="str">
        <x:v>고정</x:v>
      </x:c>
      <x:c r="F219" s="48" t="n">
        <x:v>60</x:v>
      </x:c>
      <x:c r="G219" s="48" t="n">
        <x:v>2</x:v>
      </x:c>
      <x:c r="H219" s="48" t="n">
        <x:v>24</x:v>
      </x:c>
      <x:c r="I219" s="49" t="n">
        <x:v>-76</x:v>
      </x:c>
      <x:c r="J219" s="49" t="n">
        <x:v>390</x:v>
      </x:c>
      <x:c r="K219" s="49" t="n">
        <x:v>16</x:v>
      </x:c>
      <x:c r="L219" s="49" t="n">
        <x:v>4</x:v>
      </x:c>
      <x:c r="M219" s="49" t="n">
        <x:v>0</x:v>
      </x:c>
      <x:c r="N219" s="49" t="n">
        <x:v>10.2578</x:v>
      </x:c>
      <x:c r="O219" s="49" t="n">
        <x:v>6.2722</x:v>
      </x:c>
      <x:c r="P219" s="49" t="n">
        <x:f>IF(OR(N219="",O219=""),"",2*N219*O219/(N219+O219))</x:f>
        <x:v>7.784509759225649</x:v>
      </x:c>
      <x:c r="Q219" s="58" t="str">
        <x:v>1시간_측정_자유열람실1_오열에서_3.jpg; 1시간_측정_자유열람실1_오열에서_4.jpg</x:v>
      </x:c>
      <x:c r="R219" s="58" t="str">
        <x:v>기존 Excel 대응</x:v>
      </x:c>
      <x:c r="S219" s="59" t="str"/>
    </x:row>
    <x:row r="220" ht="15" hidden="0" customHeight="1">
      <x:c r="A220" s="46" t="str">
        <x:v>FREE1_1H_R2</x:v>
      </x:c>
      <x:c r="B220" s="47" t="str">
        <x:v>일반</x:v>
      </x:c>
      <x:c r="C220" s="47" t="str">
        <x:v>오픈열람실2</x:v>
      </x:c>
      <x:c r="D220" s="47" t="str">
        <x:v>자유열람실1 AP</x:v>
      </x:c>
      <x:c r="E220" s="47" t="str">
        <x:v>고정</x:v>
      </x:c>
      <x:c r="F220" s="48" t="n">
        <x:v>60</x:v>
      </x:c>
      <x:c r="G220" s="48" t="n">
        <x:v>2</x:v>
      </x:c>
      <x:c r="H220" s="48" t="n">
        <x:v>25</x:v>
      </x:c>
      <x:c r="I220" s="49" t="n">
        <x:v>-73</x:v>
      </x:c>
      <x:c r="J220" s="49" t="n">
        <x:v>390</x:v>
      </x:c>
      <x:c r="K220" s="49" t="n">
        <x:v>12</x:v>
      </x:c>
      <x:c r="L220" s="49" t="n">
        <x:v>4</x:v>
      </x:c>
      <x:c r="M220" s="49" t="n">
        <x:v>0</x:v>
      </x:c>
      <x:c r="N220" s="49" t="n">
        <x:v>12.7744</x:v>
      </x:c>
      <x:c r="O220" s="49" t="n">
        <x:v>6.9122</x:v>
      </x:c>
      <x:c r="P220" s="49" t="n">
        <x:f>IF(OR(N220="",O220=""),"",2*N220*O220/(N220+O220))</x:f>
        <x:v>8.970488319973994</x:v>
      </x:c>
      <x:c r="Q220" s="58" t="str">
        <x:v>1시간_측정_자유열람실1_오열에서_3.jpg; 1시간_측정_자유열람실1_오열에서_4.jpg</x:v>
      </x:c>
      <x:c r="R220" s="58" t="str">
        <x:v>기존 Excel 대응</x:v>
      </x:c>
      <x:c r="S220" s="59" t="str"/>
    </x:row>
    <x:row r="221" ht="15" hidden="0" customHeight="1">
      <x:c r="A221" s="46" t="str">
        <x:v>FREE1_1H_R2</x:v>
      </x:c>
      <x:c r="B221" s="47" t="str">
        <x:v>일반</x:v>
      </x:c>
      <x:c r="C221" s="47" t="str">
        <x:v>오픈열람실2</x:v>
      </x:c>
      <x:c r="D221" s="47" t="str">
        <x:v>자유열람실1 AP</x:v>
      </x:c>
      <x:c r="E221" s="47" t="str">
        <x:v>고정</x:v>
      </x:c>
      <x:c r="F221" s="48" t="n">
        <x:v>60</x:v>
      </x:c>
      <x:c r="G221" s="48" t="n">
        <x:v>2</x:v>
      </x:c>
      <x:c r="H221" s="48" t="n">
        <x:v>26</x:v>
      </x:c>
      <x:c r="I221" s="49" t="n">
        <x:v>-76</x:v>
      </x:c>
      <x:c r="J221" s="49" t="n">
        <x:v>390</x:v>
      </x:c>
      <x:c r="K221" s="49" t="n">
        <x:v>16</x:v>
      </x:c>
      <x:c r="L221" s="49" t="n">
        <x:v>2</x:v>
      </x:c>
      <x:c r="M221" s="49" t="n">
        <x:v>0</x:v>
      </x:c>
      <x:c r="N221" s="49" t="n">
        <x:v>11.7286</x:v>
      </x:c>
      <x:c r="O221" s="49" t="n">
        <x:v>5.0143</x:v>
      </x:c>
      <x:c r="P221" s="49" t="n">
        <x:f>IF(OR(N221="",O221=""),"",2*N221*O221/(N221+O221))</x:f>
        <x:v>7.025153226740888</x:v>
      </x:c>
      <x:c r="Q221" s="58" t="str">
        <x:v>1시간_측정_자유열람실1_오열에서_3.jpg; 1시간_측정_자유열람실1_오열에서_4.jpg</x:v>
      </x:c>
      <x:c r="R221" s="58" t="str">
        <x:v>기존 Excel 대응</x:v>
      </x:c>
      <x:c r="S221" s="59" t="str"/>
    </x:row>
    <x:row r="222" ht="15" hidden="0" customHeight="1">
      <x:c r="A222" s="46" t="str">
        <x:v>FREE1_1H_R2</x:v>
      </x:c>
      <x:c r="B222" s="47" t="str">
        <x:v>일반</x:v>
      </x:c>
      <x:c r="C222" s="47" t="str">
        <x:v>오픈열람실2</x:v>
      </x:c>
      <x:c r="D222" s="47" t="str">
        <x:v>자유열람실1 AP</x:v>
      </x:c>
      <x:c r="E222" s="47" t="str">
        <x:v>고정</x:v>
      </x:c>
      <x:c r="F222" s="48" t="n">
        <x:v>60</x:v>
      </x:c>
      <x:c r="G222" s="48" t="n">
        <x:v>2</x:v>
      </x:c>
      <x:c r="H222" s="48" t="n">
        <x:v>27</x:v>
      </x:c>
      <x:c r="I222" s="49" t="n">
        <x:v>-74</x:v>
      </x:c>
      <x:c r="J222" s="49" t="n">
        <x:v>390</x:v>
      </x:c>
      <x:c r="K222" s="49" t="n">
        <x:v>27</x:v>
      </x:c>
      <x:c r="L222" s="49" t="n">
        <x:v>3</x:v>
      </x:c>
      <x:c r="M222" s="49" t="n">
        <x:v>0</x:v>
      </x:c>
      <x:c r="N222" s="49" t="n">
        <x:v>12.3613</x:v>
      </x:c>
      <x:c r="O222" s="49" t="n">
        <x:v>8.7971</x:v>
      </x:c>
      <x:c r="P222" s="49" t="n">
        <x:f>IF(OR(N222="",O222=""),"",2*N222*O222/(N222+O222))</x:f>
        <x:v>10.278999568020266</x:v>
      </x:c>
      <x:c r="Q222" s="58" t="str">
        <x:v>1시간_측정_자유열람실1_오열에서_3.jpg; 1시간_측정_자유열람실1_오열에서_4.jpg</x:v>
      </x:c>
      <x:c r="R222" s="58" t="str">
        <x:v>기존 Excel 대응</x:v>
      </x:c>
      <x:c r="S222" s="59" t="str"/>
    </x:row>
    <x:row r="223" ht="15" hidden="0" customHeight="1">
      <x:c r="A223" s="46" t="str">
        <x:v>FREE1_1H_R2</x:v>
      </x:c>
      <x:c r="B223" s="47" t="str">
        <x:v>일반</x:v>
      </x:c>
      <x:c r="C223" s="47" t="str">
        <x:v>오픈열람실2</x:v>
      </x:c>
      <x:c r="D223" s="47" t="str">
        <x:v>자유열람실1 AP</x:v>
      </x:c>
      <x:c r="E223" s="47" t="str">
        <x:v>고정</x:v>
      </x:c>
      <x:c r="F223" s="48" t="n">
        <x:v>60</x:v>
      </x:c>
      <x:c r="G223" s="48" t="n">
        <x:v>2</x:v>
      </x:c>
      <x:c r="H223" s="48" t="n">
        <x:v>28</x:v>
      </x:c>
      <x:c r="I223" s="49" t="n">
        <x:v>-73</x:v>
      </x:c>
      <x:c r="J223" s="49" t="n">
        <x:v>424.25</x:v>
      </x:c>
      <x:c r="K223" s="49" t="n">
        <x:v>9</x:v>
      </x:c>
      <x:c r="L223" s="49" t="n">
        <x:v>5</x:v>
      </x:c>
      <x:c r="M223" s="49" t="n">
        <x:v>0</x:v>
      </x:c>
      <x:c r="N223" s="49" t="n">
        <x:v>11.2975</x:v>
      </x:c>
      <x:c r="O223" s="49" t="n">
        <x:v>8.5968</x:v>
      </x:c>
      <x:c r="P223" s="49" t="n">
        <x:f>IF(OR(N223="",O223=""),"",2*N223*O223/(N223+O223))</x:f>
        <x:v>9.763836676837082</x:v>
      </x:c>
      <x:c r="Q223" s="58" t="str">
        <x:v>1시간_측정_자유열람실1_오열에서_3.jpg; 1시간_측정_자유열람실1_오열에서_4.jpg</x:v>
      </x:c>
      <x:c r="R223" s="58" t="str">
        <x:v>기존 Excel 대응</x:v>
      </x:c>
      <x:c r="S223" s="59" t="str"/>
    </x:row>
    <x:row r="224" ht="15" hidden="0" customHeight="1">
      <x:c r="A224" s="46" t="str">
        <x:v>FREE1_1H_R2</x:v>
      </x:c>
      <x:c r="B224" s="47" t="str">
        <x:v>일반</x:v>
      </x:c>
      <x:c r="C224" s="47" t="str">
        <x:v>오픈열람실2</x:v>
      </x:c>
      <x:c r="D224" s="47" t="str">
        <x:v>자유열람실1 AP</x:v>
      </x:c>
      <x:c r="E224" s="47" t="str">
        <x:v>고정</x:v>
      </x:c>
      <x:c r="F224" s="48" t="n">
        <x:v>60</x:v>
      </x:c>
      <x:c r="G224" s="48" t="n">
        <x:v>2</x:v>
      </x:c>
      <x:c r="H224" s="48" t="n">
        <x:v>29</x:v>
      </x:c>
      <x:c r="I224" s="49" t="n">
        <x:v>-71</x:v>
      </x:c>
      <x:c r="J224" s="49" t="n">
        <x:v>390</x:v>
      </x:c>
      <x:c r="K224" s="49" t="n">
        <x:v>8</x:v>
      </x:c>
      <x:c r="L224" s="49" t="n">
        <x:v>4</x:v>
      </x:c>
      <x:c r="M224" s="49" t="n">
        <x:v>0</x:v>
      </x:c>
      <x:c r="N224" s="49" t="n">
        <x:v>10.4786</x:v>
      </x:c>
      <x:c r="O224" s="49" t="n">
        <x:v>7.7489</x:v>
      </x:c>
      <x:c r="P224" s="49" t="n">
        <x:f>IF(OR(N224="",O224=""),"",2*N224*O224/(N224+O224))</x:f>
        <x:v>8.909353837882321</x:v>
      </x:c>
      <x:c r="Q224" s="58" t="str">
        <x:v>1시간_측정_자유열람실1_오열에서_3.jpg; 1시간_측정_자유열람실1_오열에서_4.jpg</x:v>
      </x:c>
      <x:c r="R224" s="58" t="str">
        <x:v>기존 Excel 대응</x:v>
      </x:c>
      <x:c r="S224" s="59" t="str"/>
    </x:row>
    <x:row r="225" ht="15" hidden="0" customHeight="1">
      <x:c r="A225" s="46" t="str">
        <x:v>FREE1_1H_R2</x:v>
      </x:c>
      <x:c r="B225" s="47" t="str">
        <x:v>일반</x:v>
      </x:c>
      <x:c r="C225" s="47" t="str">
        <x:v>오픈열람실2</x:v>
      </x:c>
      <x:c r="D225" s="47" t="str">
        <x:v>자유열람실1 AP</x:v>
      </x:c>
      <x:c r="E225" s="47" t="str">
        <x:v>고정</x:v>
      </x:c>
      <x:c r="F225" s="48" t="n">
        <x:v>60</x:v>
      </x:c>
      <x:c r="G225" s="48" t="n">
        <x:v>2</x:v>
      </x:c>
      <x:c r="H225" s="48" t="n">
        <x:v>30</x:v>
      </x:c>
      <x:c r="I225" s="49" t="n">
        <x:v>-76</x:v>
      </x:c>
      <x:c r="J225" s="49" t="n">
        <x:v>390</x:v>
      </x:c>
      <x:c r="K225" s="49" t="n">
        <x:v>22</x:v>
      </x:c>
      <x:c r="L225" s="49" t="n">
        <x:v>4</x:v>
      </x:c>
      <x:c r="M225" s="49" t="n">
        <x:v>0</x:v>
      </x:c>
      <x:c r="N225" s="49" t="n">
        <x:v>10.2556</x:v>
      </x:c>
      <x:c r="O225" s="49" t="n">
        <x:v>7.9403</x:v>
      </x:c>
      <x:c r="P225" s="49" t="n">
        <x:f>IF(OR(N225="",O225=""),"",2*N225*O225/(N225+O225))</x:f>
        <x:v>8.950647198544727</x:v>
      </x:c>
      <x:c r="Q225" s="58" t="str">
        <x:v>1시간_측정_자유열람실1_오열에서_3.jpg; 1시간_측정_자유열람실1_오열에서_4.jpg</x:v>
      </x:c>
      <x:c r="R225" s="58" t="str">
        <x:v>기존 Excel 대응</x:v>
      </x:c>
      <x:c r="S225" s="59" t="str"/>
    </x:row>
    <x:row r="226" ht="15" hidden="0" customHeight="1">
      <x:c r="A226" s="46" t="str">
        <x:v>FREE1_1H_R2</x:v>
      </x:c>
      <x:c r="B226" s="47" t="str">
        <x:v>일반</x:v>
      </x:c>
      <x:c r="C226" s="47" t="str">
        <x:v>오픈열람실2</x:v>
      </x:c>
      <x:c r="D226" s="47" t="str">
        <x:v>자유열람실1 AP</x:v>
      </x:c>
      <x:c r="E226" s="47" t="str">
        <x:v>고정</x:v>
      </x:c>
      <x:c r="F226" s="48" t="n">
        <x:v>60</x:v>
      </x:c>
      <x:c r="G226" s="48" t="n">
        <x:v>2</x:v>
      </x:c>
      <x:c r="H226" s="48" t="n">
        <x:v>31</x:v>
      </x:c>
      <x:c r="I226" s="49" t="n">
        <x:v>-74</x:v>
      </x:c>
      <x:c r="J226" s="49" t="n">
        <x:v>390</x:v>
      </x:c>
      <x:c r="K226" s="49" t="n">
        <x:v>14</x:v>
      </x:c>
      <x:c r="L226" s="49" t="n">
        <x:v>4</x:v>
      </x:c>
      <x:c r="M226" s="49" t="n">
        <x:v>0</x:v>
      </x:c>
      <x:c r="N226" s="49" t="n">
        <x:v>11.931</x:v>
      </x:c>
      <x:c r="O226" s="49" t="n">
        <x:v>4.8189</x:v>
      </x:c>
      <x:c r="P226" s="49" t="n">
        <x:f>IF(OR(N226="",O226=""),"",2*N226*O226/(N226+O226))</x:f>
        <x:v>6.865031540486808</x:v>
      </x:c>
      <x:c r="Q226" s="58" t="str">
        <x:v>1시간_측정_자유열람실1_오열에서_3.jpg; 1시간_측정_자유열람실1_오열에서_4.jpg</x:v>
      </x:c>
      <x:c r="R226" s="58" t="str">
        <x:v>기존 Excel 대응</x:v>
      </x:c>
      <x:c r="S226" s="59" t="str"/>
    </x:row>
    <x:row r="227" ht="15" hidden="0" customHeight="1">
      <x:c r="A227" s="46" t="str">
        <x:v>FREE1_1H_R2</x:v>
      </x:c>
      <x:c r="B227" s="47" t="str">
        <x:v>일반</x:v>
      </x:c>
      <x:c r="C227" s="47" t="str">
        <x:v>오픈열람실2</x:v>
      </x:c>
      <x:c r="D227" s="47" t="str">
        <x:v>자유열람실1 AP</x:v>
      </x:c>
      <x:c r="E227" s="47" t="str">
        <x:v>고정</x:v>
      </x:c>
      <x:c r="F227" s="48" t="n">
        <x:v>60</x:v>
      </x:c>
      <x:c r="G227" s="48" t="n">
        <x:v>2</x:v>
      </x:c>
      <x:c r="H227" s="48" t="n">
        <x:v>32</x:v>
      </x:c>
      <x:c r="I227" s="49" t="n">
        <x:v>-76</x:v>
      </x:c>
      <x:c r="J227" s="49" t="n">
        <x:v>390</x:v>
      </x:c>
      <x:c r="K227" s="49" t="n">
        <x:v>15</x:v>
      </x:c>
      <x:c r="L227" s="49" t="n">
        <x:v>3</x:v>
      </x:c>
      <x:c r="M227" s="49" t="n">
        <x:v>0</x:v>
      </x:c>
      <x:c r="N227" s="49" t="n">
        <x:v>11.9294</x:v>
      </x:c>
      <x:c r="O227" s="49" t="n">
        <x:v>6.8973</x:v>
      </x:c>
      <x:c r="P227" s="49" t="n">
        <x:f>IF(OR(N227="",O227=""),"",2*N227*O227/(N227+O227))</x:f>
        <x:v>8.740846841985054</x:v>
      </x:c>
      <x:c r="Q227" s="58" t="str">
        <x:v>1시간_측정_자유열람실1_오열에서_3.jpg; 1시간_측정_자유열람실1_오열에서_4.jpg</x:v>
      </x:c>
      <x:c r="R227" s="58" t="str">
        <x:v>기존 Excel 대응</x:v>
      </x:c>
      <x:c r="S227" s="59" t="str"/>
    </x:row>
    <x:row r="228" ht="15" hidden="0" customHeight="1">
      <x:c r="A228" s="46" t="str">
        <x:v>FREE1_1H_R2</x:v>
      </x:c>
      <x:c r="B228" s="47" t="str">
        <x:v>일반</x:v>
      </x:c>
      <x:c r="C228" s="47" t="str">
        <x:v>오픈열람실2</x:v>
      </x:c>
      <x:c r="D228" s="47" t="str">
        <x:v>자유열람실1 AP</x:v>
      </x:c>
      <x:c r="E228" s="47" t="str">
        <x:v>고정</x:v>
      </x:c>
      <x:c r="F228" s="48" t="n">
        <x:v>60</x:v>
      </x:c>
      <x:c r="G228" s="48" t="n">
        <x:v>2</x:v>
      </x:c>
      <x:c r="H228" s="48" t="n">
        <x:v>33</x:v>
      </x:c>
      <x:c r="I228" s="49" t="n">
        <x:v>-77</x:v>
      </x:c>
      <x:c r="J228" s="49" t="n">
        <x:v>390</x:v>
      </x:c>
      <x:c r="K228" s="49" t="n">
        <x:v>29</x:v>
      </x:c>
      <x:c r="L228" s="49" t="n">
        <x:v>10</x:v>
      </x:c>
      <x:c r="M228" s="49" t="n">
        <x:v>0</x:v>
      </x:c>
      <x:c r="N228" s="49" t="n">
        <x:v>11.5497</x:v>
      </x:c>
      <x:c r="O228" s="49" t="n">
        <x:v>7.7433</x:v>
      </x:c>
      <x:c r="P228" s="49" t="n">
        <x:f>IF(OR(N228="",O228=""),"",2*N228*O228/(N228+O228))</x:f>
        <x:v>9.271009382677654</x:v>
      </x:c>
      <x:c r="Q228" s="58" t="str">
        <x:v>1시간_측정_자유열람실1_오열에서_3.jpg; 1시간_측정_자유열람실1_오열에서_4.jpg</x:v>
      </x:c>
      <x:c r="R228" s="58" t="str">
        <x:v>기존 Excel 대응</x:v>
      </x:c>
      <x:c r="S228" s="59" t="str"/>
    </x:row>
    <x:row r="229" ht="15" hidden="0" customHeight="1">
      <x:c r="A229" s="46" t="str">
        <x:v>FREE1_1H_R2</x:v>
      </x:c>
      <x:c r="B229" s="47" t="str">
        <x:v>일반</x:v>
      </x:c>
      <x:c r="C229" s="47" t="str">
        <x:v>오픈열람실2</x:v>
      </x:c>
      <x:c r="D229" s="47" t="str">
        <x:v>자유열람실1 AP</x:v>
      </x:c>
      <x:c r="E229" s="47" t="str">
        <x:v>고정</x:v>
      </x:c>
      <x:c r="F229" s="48" t="n">
        <x:v>60</x:v>
      </x:c>
      <x:c r="G229" s="48" t="n">
        <x:v>2</x:v>
      </x:c>
      <x:c r="H229" s="48" t="n">
        <x:v>34</x:v>
      </x:c>
      <x:c r="I229" s="49" t="n">
        <x:v>-76</x:v>
      </x:c>
      <x:c r="J229" s="49" t="n">
        <x:v>390</x:v>
      </x:c>
      <x:c r="K229" s="49" t="n">
        <x:v>11</x:v>
      </x:c>
      <x:c r="L229" s="49" t="n">
        <x:v>4</x:v>
      </x:c>
      <x:c r="M229" s="49" t="n">
        <x:v>0</x:v>
      </x:c>
      <x:c r="N229" s="49" t="n">
        <x:v>8.167</x:v>
      </x:c>
      <x:c r="O229" s="49" t="n">
        <x:v>6.9117</x:v>
      </x:c>
      <x:c r="P229" s="49" t="n">
        <x:f>IF(OR(N229="",O229=""),"",2*N229*O229/(N229+O229))</x:f>
        <x:v>7.487098211384271</x:v>
      </x:c>
      <x:c r="Q229" s="58" t="str">
        <x:v>1시간_측정_자유열람실1_오열에서_3.jpg; 1시간_측정_자유열람실1_오열에서_4.jpg</x:v>
      </x:c>
      <x:c r="R229" s="58" t="str">
        <x:v>기존 Excel 대응</x:v>
      </x:c>
      <x:c r="S229" s="59" t="str"/>
    </x:row>
    <x:row r="230" ht="15" hidden="0" customHeight="1">
      <x:c r="A230" s="46" t="str">
        <x:v>FREE1_1H_R2</x:v>
      </x:c>
      <x:c r="B230" s="47" t="str">
        <x:v>일반</x:v>
      </x:c>
      <x:c r="C230" s="47" t="str">
        <x:v>오픈열람실2</x:v>
      </x:c>
      <x:c r="D230" s="47" t="str">
        <x:v>자유열람실1 AP</x:v>
      </x:c>
      <x:c r="E230" s="47" t="str">
        <x:v>고정</x:v>
      </x:c>
      <x:c r="F230" s="48" t="n">
        <x:v>60</x:v>
      </x:c>
      <x:c r="G230" s="48" t="n">
        <x:v>2</x:v>
      </x:c>
      <x:c r="H230" s="48" t="n">
        <x:v>35</x:v>
      </x:c>
      <x:c r="I230" s="49" t="n">
        <x:v>-75</x:v>
      </x:c>
      <x:c r="J230" s="49" t="n">
        <x:v>390</x:v>
      </x:c>
      <x:c r="K230" s="49" t="n">
        <x:v>23</x:v>
      </x:c>
      <x:c r="L230" s="49" t="n">
        <x:v>11</x:v>
      </x:c>
      <x:c r="M230" s="49" t="n">
        <x:v>0</x:v>
      </x:c>
      <x:c r="N230" s="49" t="n">
        <x:v>11.7204</x:v>
      </x:c>
      <x:c r="O230" s="49" t="n">
        <x:v>8.3674</x:v>
      </x:c>
      <x:c r="P230" s="49" t="n">
        <x:f>IF(OR(N230="",O230=""),"",2*N230*O230/(N230+O230))</x:f>
        <x:v>9.76406325829608</x:v>
      </x:c>
      <x:c r="Q230" s="58" t="str">
        <x:v>1시간_측정_자유열람실1_오열에서_3.jpg; 1시간_측정_자유열람실1_오열에서_4.jpg</x:v>
      </x:c>
      <x:c r="R230" s="58" t="str">
        <x:v>기존 Excel 대응</x:v>
      </x:c>
      <x:c r="S230" s="59" t="str"/>
    </x:row>
    <x:row r="231" ht="15" hidden="0" customHeight="1">
      <x:c r="A231" s="46" t="str">
        <x:v>FREE1_1H_R2</x:v>
      </x:c>
      <x:c r="B231" s="47" t="str">
        <x:v>일반</x:v>
      </x:c>
      <x:c r="C231" s="47" t="str">
        <x:v>오픈열람실2</x:v>
      </x:c>
      <x:c r="D231" s="47" t="str">
        <x:v>자유열람실1 AP</x:v>
      </x:c>
      <x:c r="E231" s="47" t="str">
        <x:v>고정</x:v>
      </x:c>
      <x:c r="F231" s="48" t="n">
        <x:v>60</x:v>
      </x:c>
      <x:c r="G231" s="48" t="n">
        <x:v>2</x:v>
      </x:c>
      <x:c r="H231" s="48" t="n">
        <x:v>36</x:v>
      </x:c>
      <x:c r="I231" s="49" t="n">
        <x:v>-72</x:v>
      </x:c>
      <x:c r="J231" s="49" t="n">
        <x:v>390</x:v>
      </x:c>
      <x:c r="K231" s="49" t="n">
        <x:v>14</x:v>
      </x:c>
      <x:c r="L231" s="49" t="n">
        <x:v>3</x:v>
      </x:c>
      <x:c r="M231" s="49" t="n">
        <x:v>0</x:v>
      </x:c>
      <x:c r="N231" s="49" t="n">
        <x:v>12.1543</x:v>
      </x:c>
      <x:c r="O231" s="49" t="n">
        <x:v>9.0155</x:v>
      </x:c>
      <x:c r="P231" s="49" t="n">
        <x:f>IF(OR(N231="",O231=""),"",2*N231*O231/(N231+O231))</x:f>
        <x:v>10.352208490396697</x:v>
      </x:c>
      <x:c r="Q231" s="58" t="str">
        <x:v>1시간_측정_자유열람실1_오열에서_3.jpg; 1시간_측정_자유열람실1_오열에서_4.jpg</x:v>
      </x:c>
      <x:c r="R231" s="58" t="str">
        <x:v>기존 Excel 대응</x:v>
      </x:c>
      <x:c r="S231" s="59" t="str"/>
    </x:row>
    <x:row r="232" ht="15" hidden="0" customHeight="1">
      <x:c r="A232" s="46" t="str">
        <x:v>FREE1_1H_R2</x:v>
      </x:c>
      <x:c r="B232" s="47" t="str">
        <x:v>일반</x:v>
      </x:c>
      <x:c r="C232" s="47" t="str">
        <x:v>오픈열람실2</x:v>
      </x:c>
      <x:c r="D232" s="47" t="str">
        <x:v>자유열람실1 AP</x:v>
      </x:c>
      <x:c r="E232" s="47" t="str">
        <x:v>고정</x:v>
      </x:c>
      <x:c r="F232" s="48" t="n">
        <x:v>60</x:v>
      </x:c>
      <x:c r="G232" s="48" t="n">
        <x:v>2</x:v>
      </x:c>
      <x:c r="H232" s="48" t="n">
        <x:v>37</x:v>
      </x:c>
      <x:c r="I232" s="49" t="n">
        <x:v>-75</x:v>
      </x:c>
      <x:c r="J232" s="49" t="n">
        <x:v>390</x:v>
      </x:c>
      <x:c r="K232" s="49" t="n">
        <x:v>8</x:v>
      </x:c>
      <x:c r="L232" s="49" t="n">
        <x:v>4</x:v>
      </x:c>
      <x:c r="M232" s="49" t="n">
        <x:v>0</x:v>
      </x:c>
      <x:c r="N232" s="49" t="n">
        <x:v>14.4281</x:v>
      </x:c>
      <x:c r="O232" s="49" t="n">
        <x:v>5.0114</x:v>
      </x:c>
      <x:c r="P232" s="49" t="n">
        <x:f>IF(OR(N232="",O232=""),"",2*N232*O232/(N232+O232))</x:f>
        <x:v>7.438975317266389</x:v>
      </x:c>
      <x:c r="Q232" s="58" t="str">
        <x:v>1시간_측정_자유열람실1_오열에서_3.jpg; 1시간_측정_자유열람실1_오열에서_4.jpg</x:v>
      </x:c>
      <x:c r="R232" s="58" t="str">
        <x:v>기존 Excel 대응</x:v>
      </x:c>
      <x:c r="S232" s="59" t="str"/>
    </x:row>
    <x:row r="233" ht="15" hidden="0" customHeight="1">
      <x:c r="A233" s="46" t="str">
        <x:v>FREE1_1H_R2</x:v>
      </x:c>
      <x:c r="B233" s="47" t="str">
        <x:v>일반</x:v>
      </x:c>
      <x:c r="C233" s="47" t="str">
        <x:v>오픈열람실2</x:v>
      </x:c>
      <x:c r="D233" s="47" t="str">
        <x:v>자유열람실1 AP</x:v>
      </x:c>
      <x:c r="E233" s="47" t="str">
        <x:v>고정</x:v>
      </x:c>
      <x:c r="F233" s="48" t="n">
        <x:v>60</x:v>
      </x:c>
      <x:c r="G233" s="48" t="n">
        <x:v>2</x:v>
      </x:c>
      <x:c r="H233" s="48" t="n">
        <x:v>38</x:v>
      </x:c>
      <x:c r="I233" s="49" t="n">
        <x:v>-77</x:v>
      </x:c>
      <x:c r="J233" s="49" t="n">
        <x:v>390</x:v>
      </x:c>
      <x:c r="K233" s="49" t="n">
        <x:v>12</x:v>
      </x:c>
      <x:c r="L233" s="49" t="n">
        <x:v>4</x:v>
      </x:c>
      <x:c r="M233" s="49" t="n">
        <x:v>0</x:v>
      </x:c>
      <x:c r="N233" s="49" t="n">
        <x:v>10.8879</x:v>
      </x:c>
      <x:c r="O233" s="49" t="n">
        <x:v>7.9501</x:v>
      </x:c>
      <x:c r="P233" s="49" t="n">
        <x:f>IF(OR(N233="",O233=""),"",2*N233*O233/(N233+O233))</x:f>
        <x:v>9.189923961142371</x:v>
      </x:c>
      <x:c r="Q233" s="58" t="str">
        <x:v>1시간_측정_자유열람실1_오열에서_3.jpg; 1시간_측정_자유열람실1_오열에서_4.jpg</x:v>
      </x:c>
      <x:c r="R233" s="58" t="str">
        <x:v>기존 Excel 대응</x:v>
      </x:c>
      <x:c r="S233" s="59" t="str"/>
    </x:row>
    <x:row r="234" ht="15" hidden="0" customHeight="1">
      <x:c r="A234" s="46" t="str">
        <x:v>FREE1_1H_R2</x:v>
      </x:c>
      <x:c r="B234" s="47" t="str">
        <x:v>일반</x:v>
      </x:c>
      <x:c r="C234" s="47" t="str">
        <x:v>오픈열람실2</x:v>
      </x:c>
      <x:c r="D234" s="47" t="str">
        <x:v>자유열람실1 AP</x:v>
      </x:c>
      <x:c r="E234" s="47" t="str">
        <x:v>고정</x:v>
      </x:c>
      <x:c r="F234" s="48" t="n">
        <x:v>60</x:v>
      </x:c>
      <x:c r="G234" s="48" t="n">
        <x:v>2</x:v>
      </x:c>
      <x:c r="H234" s="48" t="n">
        <x:v>39</x:v>
      </x:c>
      <x:c r="I234" s="49" t="n">
        <x:v>-76</x:v>
      </x:c>
      <x:c r="J234" s="49" t="n">
        <x:v>390</x:v>
      </x:c>
      <x:c r="K234" s="49" t="n">
        <x:v>17</x:v>
      </x:c>
      <x:c r="L234" s="49" t="n">
        <x:v>3</x:v>
      </x:c>
      <x:c r="M234" s="49" t="n">
        <x:v>0</x:v>
      </x:c>
      <x:c r="N234" s="49" t="n">
        <x:v>14.2024</x:v>
      </x:c>
      <x:c r="O234" s="49" t="n">
        <x:v>8.1587</x:v>
      </x:c>
      <x:c r="P234" s="49" t="n">
        <x:f>IF(OR(N234="",O234=""),"",2*N234*O234/(N234+O234))</x:f>
        <x:v>10.363812234639619</x:v>
      </x:c>
      <x:c r="Q234" s="58" t="str">
        <x:v>1시간_측정_자유열람실1_오열에서_3.jpg; 1시간_측정_자유열람실1_오열에서_4.jpg</x:v>
      </x:c>
      <x:c r="R234" s="58" t="str">
        <x:v>기존 Excel 대응</x:v>
      </x:c>
      <x:c r="S234" s="59" t="str"/>
    </x:row>
    <x:row r="235" ht="15" hidden="0" customHeight="1">
      <x:c r="A235" s="46" t="str">
        <x:v>FREE1_1H_R2</x:v>
      </x:c>
      <x:c r="B235" s="47" t="str">
        <x:v>일반</x:v>
      </x:c>
      <x:c r="C235" s="47" t="str">
        <x:v>오픈열람실2</x:v>
      </x:c>
      <x:c r="D235" s="47" t="str">
        <x:v>자유열람실1 AP</x:v>
      </x:c>
      <x:c r="E235" s="47" t="str">
        <x:v>고정</x:v>
      </x:c>
      <x:c r="F235" s="48" t="n">
        <x:v>60</x:v>
      </x:c>
      <x:c r="G235" s="48" t="n">
        <x:v>2</x:v>
      </x:c>
      <x:c r="H235" s="48" t="n">
        <x:v>40</x:v>
      </x:c>
      <x:c r="I235" s="49" t="n">
        <x:v>-77</x:v>
      </x:c>
      <x:c r="J235" s="49" t="n">
        <x:v>390</x:v>
      </x:c>
      <x:c r="K235" s="49" t="n">
        <x:v>6</x:v>
      </x:c>
      <x:c r="L235" s="49" t="n">
        <x:v>3</x:v>
      </x:c>
      <x:c r="M235" s="49" t="n">
        <x:v>0</x:v>
      </x:c>
      <x:c r="N235" s="49" t="n">
        <x:v>14.2354</x:v>
      </x:c>
      <x:c r="O235" s="49" t="n">
        <x:v>4.3982</x:v>
      </x:c>
      <x:c r="P235" s="49" t="n">
        <x:f>IF(OR(N235="",O235=""),"",2*N235*O235/(N235+O235))</x:f>
        <x:v>6.720133122960673</x:v>
      </x:c>
      <x:c r="Q235" s="58" t="str">
        <x:v>1시간_측정_자유열람실1_오열에서_3.jpg; 1시간_측정_자유열람실1_오열에서_4.jpg</x:v>
      </x:c>
      <x:c r="R235" s="58" t="str">
        <x:v>기존 Excel 대응</x:v>
      </x:c>
      <x:c r="S235" s="59" t="str"/>
    </x:row>
    <x:row r="236" ht="15" hidden="0" customHeight="1">
      <x:c r="A236" s="46" t="str">
        <x:v>FREE1_1H_R2</x:v>
      </x:c>
      <x:c r="B236" s="47" t="str">
        <x:v>일반</x:v>
      </x:c>
      <x:c r="C236" s="47" t="str">
        <x:v>오픈열람실2</x:v>
      </x:c>
      <x:c r="D236" s="47" t="str">
        <x:v>자유열람실1 AP</x:v>
      </x:c>
      <x:c r="E236" s="47" t="str">
        <x:v>고정</x:v>
      </x:c>
      <x:c r="F236" s="48" t="n">
        <x:v>60</x:v>
      </x:c>
      <x:c r="G236" s="48" t="n">
        <x:v>2</x:v>
      </x:c>
      <x:c r="H236" s="48" t="n">
        <x:v>41</x:v>
      </x:c>
      <x:c r="I236" s="49" t="n">
        <x:v>-77</x:v>
      </x:c>
      <x:c r="J236" s="49" t="n">
        <x:v>458.75</x:v>
      </x:c>
      <x:c r="K236" s="49" t="n">
        <x:v>14</x:v>
      </x:c>
      <x:c r="L236" s="49" t="n">
        <x:v>3</x:v>
      </x:c>
      <x:c r="M236" s="49" t="n">
        <x:v>0</x:v>
      </x:c>
      <x:c r="N236" s="49" t="n">
        <x:v>10.0608</x:v>
      </x:c>
      <x:c r="O236" s="49" t="n">
        <x:v>6.9089</x:v>
      </x:c>
      <x:c r="P236" s="49" t="n">
        <x:f>IF(OR(N236="",O236=""),"",2*N236*O236/(N236+O236))</x:f>
        <x:v>8.19213788340395</x:v>
      </x:c>
      <x:c r="Q236" s="58" t="str">
        <x:v>1시간_측정_자유열람실1_오열에서_3.jpg; 1시간_측정_자유열람실1_오열에서_4.jpg</x:v>
      </x:c>
      <x:c r="R236" s="58" t="str">
        <x:v>기존 Excel 대응</x:v>
      </x:c>
      <x:c r="S236" s="59" t="str"/>
    </x:row>
    <x:row r="237" ht="15" hidden="0" customHeight="1">
      <x:c r="A237" s="46" t="str">
        <x:v>FREE1_1H_R2</x:v>
      </x:c>
      <x:c r="B237" s="47" t="str">
        <x:v>일반</x:v>
      </x:c>
      <x:c r="C237" s="47" t="str">
        <x:v>오픈열람실2</x:v>
      </x:c>
      <x:c r="D237" s="47" t="str">
        <x:v>자유열람실1 AP</x:v>
      </x:c>
      <x:c r="E237" s="47" t="str">
        <x:v>고정</x:v>
      </x:c>
      <x:c r="F237" s="48" t="n">
        <x:v>60</x:v>
      </x:c>
      <x:c r="G237" s="48" t="n">
        <x:v>2</x:v>
      </x:c>
      <x:c r="H237" s="48" t="n">
        <x:v>42</x:v>
      </x:c>
      <x:c r="I237" s="49" t="n">
        <x:v>-77</x:v>
      </x:c>
      <x:c r="J237" s="49" t="n">
        <x:v>390</x:v>
      </x:c>
      <x:c r="K237" s="49" t="n">
        <x:v>12</x:v>
      </x:c>
      <x:c r="L237" s="49" t="n">
        <x:v>7</x:v>
      </x:c>
      <x:c r="M237" s="49" t="n">
        <x:v>0</x:v>
      </x:c>
      <x:c r="N237" s="49" t="n">
        <x:v>11.0957</x:v>
      </x:c>
      <x:c r="O237" s="49" t="n">
        <x:v>9.4204</x:v>
      </x:c>
      <x:c r="P237" s="49" t="n">
        <x:f>IF(OR(N237="",O237=""),"",2*N237*O237/(N237+O237))</x:f>
        <x:v>10.189649327113829</x:v>
      </x:c>
      <x:c r="Q237" s="58" t="str">
        <x:v>1시간_측정_자유열람실1_오열에서_3.jpg; 1시간_측정_자유열람실1_오열에서_4.jpg</x:v>
      </x:c>
      <x:c r="R237" s="58" t="str">
        <x:v>기존 Excel 대응</x:v>
      </x:c>
      <x:c r="S237" s="59" t="str"/>
    </x:row>
    <x:row r="238" ht="15" hidden="0" customHeight="1">
      <x:c r="A238" s="46" t="str">
        <x:v>FREE1_1H_R2</x:v>
      </x:c>
      <x:c r="B238" s="47" t="str">
        <x:v>일반</x:v>
      </x:c>
      <x:c r="C238" s="47" t="str">
        <x:v>오픈열람실2</x:v>
      </x:c>
      <x:c r="D238" s="47" t="str">
        <x:v>자유열람실1 AP</x:v>
      </x:c>
      <x:c r="E238" s="47" t="str">
        <x:v>고정</x:v>
      </x:c>
      <x:c r="F238" s="48" t="n">
        <x:v>60</x:v>
      </x:c>
      <x:c r="G238" s="48" t="n">
        <x:v>2</x:v>
      </x:c>
      <x:c r="H238" s="48" t="n">
        <x:v>43</x:v>
      </x:c>
      <x:c r="I238" s="49" t="n">
        <x:v>-75</x:v>
      </x:c>
      <x:c r="J238" s="49" t="n">
        <x:v>390</x:v>
      </x:c>
      <x:c r="K238" s="49" t="n">
        <x:v>19</x:v>
      </x:c>
      <x:c r="L238" s="49" t="n">
        <x:v>4</x:v>
      </x:c>
      <x:c r="M238" s="49" t="n">
        <x:v>0</x:v>
      </x:c>
      <x:c r="N238" s="49" t="n">
        <x:v>10.4581</x:v>
      </x:c>
      <x:c r="O238" s="49" t="n">
        <x:v>3.9558</x:v>
      </x:c>
      <x:c r="P238" s="49" t="n">
        <x:f>IF(OR(N238="",O238=""),"",2*N238*O238/(N238+O238))</x:f>
        <x:v>5.740313444661057</x:v>
      </x:c>
      <x:c r="Q238" s="58" t="str">
        <x:v>1시간_측정_자유열람실1_오열에서_3.jpg; 1시간_측정_자유열람실1_오열에서_4.jpg</x:v>
      </x:c>
      <x:c r="R238" s="58" t="str">
        <x:v>기존 Excel 대응</x:v>
      </x:c>
      <x:c r="S238" s="59" t="str"/>
    </x:row>
    <x:row r="239" ht="15" hidden="0" customHeight="1">
      <x:c r="A239" s="46" t="str">
        <x:v>FREE1_1H_R2</x:v>
      </x:c>
      <x:c r="B239" s="47" t="str">
        <x:v>일반</x:v>
      </x:c>
      <x:c r="C239" s="47" t="str">
        <x:v>오픈열람실2</x:v>
      </x:c>
      <x:c r="D239" s="47" t="str">
        <x:v>자유열람실1 AP</x:v>
      </x:c>
      <x:c r="E239" s="47" t="str">
        <x:v>고정</x:v>
      </x:c>
      <x:c r="F239" s="48" t="n">
        <x:v>60</x:v>
      </x:c>
      <x:c r="G239" s="48" t="n">
        <x:v>2</x:v>
      </x:c>
      <x:c r="H239" s="48" t="n">
        <x:v>44</x:v>
      </x:c>
      <x:c r="I239" s="49" t="n">
        <x:v>-71</x:v>
      </x:c>
      <x:c r="J239" s="49" t="n">
        <x:v>390</x:v>
      </x:c>
      <x:c r="K239" s="49" t="n">
        <x:v>10</x:v>
      </x:c>
      <x:c r="L239" s="49" t="n">
        <x:v>4</x:v>
      </x:c>
      <x:c r="M239" s="49" t="n">
        <x:v>0</x:v>
      </x:c>
      <x:c r="N239" s="49" t="n">
        <x:v>12.5581</x:v>
      </x:c>
      <x:c r="O239" s="49" t="n">
        <x:v>5.0172</x:v>
      </x:c>
      <x:c r="P239" s="49" t="n">
        <x:f>IF(OR(N239="",O239=""),"",2*N239*O239/(N239+O239))</x:f>
        <x:v>7.169891759457876</x:v>
      </x:c>
      <x:c r="Q239" s="58" t="str">
        <x:v>1시간_측정_자유열람실1_오열에서_3.jpg; 1시간_측정_자유열람실1_오열에서_4.jpg</x:v>
      </x:c>
      <x:c r="R239" s="58" t="str">
        <x:v>기존 Excel 대응</x:v>
      </x:c>
      <x:c r="S239" s="59" t="str"/>
    </x:row>
    <x:row r="240" ht="15" hidden="0" customHeight="1">
      <x:c r="A240" s="46" t="str">
        <x:v>FREE1_1H_R2</x:v>
      </x:c>
      <x:c r="B240" s="47" t="str">
        <x:v>일반</x:v>
      </x:c>
      <x:c r="C240" s="47" t="str">
        <x:v>오픈열람실2</x:v>
      </x:c>
      <x:c r="D240" s="47" t="str">
        <x:v>자유열람실1 AP</x:v>
      </x:c>
      <x:c r="E240" s="47" t="str">
        <x:v>고정</x:v>
      </x:c>
      <x:c r="F240" s="48" t="n">
        <x:v>60</x:v>
      </x:c>
      <x:c r="G240" s="48" t="n">
        <x:v>2</x:v>
      </x:c>
      <x:c r="H240" s="48" t="n">
        <x:v>45</x:v>
      </x:c>
      <x:c r="I240" s="49" t="n">
        <x:v>-77</x:v>
      </x:c>
      <x:c r="J240" s="49" t="n">
        <x:v>390</x:v>
      </x:c>
      <x:c r="K240" s="49" t="n">
        <x:v>11</x:v>
      </x:c>
      <x:c r="L240" s="49" t="n">
        <x:v>3</x:v>
      </x:c>
      <x:c r="M240" s="49" t="n">
        <x:v>0</x:v>
      </x:c>
      <x:c r="N240" s="49" t="n">
        <x:v>6.4877</x:v>
      </x:c>
      <x:c r="O240" s="49" t="n">
        <x:v>6.0633</x:v>
      </x:c>
      <x:c r="P240" s="49" t="n">
        <x:f>IF(OR(N240="",O240=""),"",2*N240*O240/(N240+O240))</x:f>
        <x:v>6.268324660983189</x:v>
      </x:c>
      <x:c r="Q240" s="58" t="str">
        <x:v>1시간_측정_자유열람실1_오열에서_3.jpg; 1시간_측정_자유열람실1_오열에서_4.jpg</x:v>
      </x:c>
      <x:c r="R240" s="58" t="str">
        <x:v>기존 Excel 대응</x:v>
      </x:c>
      <x:c r="S240" s="59" t="str"/>
    </x:row>
    <x:row r="241" ht="15" hidden="0" customHeight="1">
      <x:c r="A241" s="46" t="str">
        <x:v>FREE1_1H_R2</x:v>
      </x:c>
      <x:c r="B241" s="47" t="str">
        <x:v>일반</x:v>
      </x:c>
      <x:c r="C241" s="47" t="str">
        <x:v>오픈열람실2</x:v>
      </x:c>
      <x:c r="D241" s="47" t="str">
        <x:v>자유열람실1 AP</x:v>
      </x:c>
      <x:c r="E241" s="47" t="str">
        <x:v>고정</x:v>
      </x:c>
      <x:c r="F241" s="48" t="n">
        <x:v>60</x:v>
      </x:c>
      <x:c r="G241" s="48" t="n">
        <x:v>2</x:v>
      </x:c>
      <x:c r="H241" s="48" t="n">
        <x:v>46</x:v>
      </x:c>
      <x:c r="I241" s="49" t="n">
        <x:v>-72</x:v>
      </x:c>
      <x:c r="J241" s="49" t="n">
        <x:v>390</x:v>
      </x:c>
      <x:c r="K241" s="49" t="n">
        <x:v>12</x:v>
      </x:c>
      <x:c r="L241" s="49" t="n">
        <x:v>5</x:v>
      </x:c>
      <x:c r="M241" s="49" t="n">
        <x:v>0</x:v>
      </x:c>
      <x:c r="N241" s="49" t="n">
        <x:v>5.4381</x:v>
      </x:c>
      <x:c r="O241" s="49" t="n">
        <x:v>6.0796</x:v>
      </x:c>
      <x:c r="P241" s="49" t="n">
        <x:f>IF(OR(N241="",O241=""),"",2*N241*O241/(N241+O241))</x:f>
        <x:v>5.740985224480582</x:v>
      </x:c>
      <x:c r="Q241" s="58" t="str">
        <x:v>1시간_측정_자유열람실1_오열에서_3.jpg; 1시간_측정_자유열람실1_오열에서_4.jpg</x:v>
      </x:c>
      <x:c r="R241" s="58" t="str">
        <x:v>기존 Excel 대응</x:v>
      </x:c>
      <x:c r="S241" s="59" t="str"/>
    </x:row>
    <x:row r="242" ht="15" hidden="0" customHeight="1">
      <x:c r="A242" s="46" t="str">
        <x:v>FREE1_1H_R2</x:v>
      </x:c>
      <x:c r="B242" s="47" t="str">
        <x:v>일반</x:v>
      </x:c>
      <x:c r="C242" s="47" t="str">
        <x:v>오픈열람실2</x:v>
      </x:c>
      <x:c r="D242" s="47" t="str">
        <x:v>자유열람실1 AP</x:v>
      </x:c>
      <x:c r="E242" s="47" t="str">
        <x:v>고정</x:v>
      </x:c>
      <x:c r="F242" s="48" t="n">
        <x:v>60</x:v>
      </x:c>
      <x:c r="G242" s="48" t="n">
        <x:v>2</x:v>
      </x:c>
      <x:c r="H242" s="48" t="n">
        <x:v>47</x:v>
      </x:c>
      <x:c r="I242" s="49" t="n">
        <x:v>-76</x:v>
      </x:c>
      <x:c r="J242" s="49" t="n">
        <x:v>390</x:v>
      </x:c>
      <x:c r="K242" s="49" t="n">
        <x:v>10</x:v>
      </x:c>
      <x:c r="L242" s="49" t="n">
        <x:v>5</x:v>
      </x:c>
      <x:c r="M242" s="49" t="n">
        <x:v>0</x:v>
      </x:c>
      <x:c r="N242" s="49" t="n">
        <x:v>1.0393</x:v>
      </x:c>
      <x:c r="O242" s="49" t="n">
        <x:v>4.3907</x:v>
      </x:c>
      <x:c r="P242" s="49" t="n">
        <x:f>IF(OR(N242="",O242=""),"",2*N242*O242/(N242+O242))</x:f>
        <x:v>1.6807567255985265</x:v>
      </x:c>
      <x:c r="Q242" s="58" t="str">
        <x:v>1시간_측정_자유열람실1_오열에서_3.jpg; 1시간_측정_자유열람실1_오열에서_4.jpg</x:v>
      </x:c>
      <x:c r="R242" s="58" t="str">
        <x:v>기존 Excel 대응</x:v>
      </x:c>
      <x:c r="S242" s="59" t="str"/>
    </x:row>
    <x:row r="243" ht="15" hidden="0" customHeight="1">
      <x:c r="A243" s="46" t="str">
        <x:v>FREE1_1H_R2</x:v>
      </x:c>
      <x:c r="B243" s="47" t="str">
        <x:v>일반</x:v>
      </x:c>
      <x:c r="C243" s="47" t="str">
        <x:v>오픈열람실2</x:v>
      </x:c>
      <x:c r="D243" s="47" t="str">
        <x:v>자유열람실1 AP</x:v>
      </x:c>
      <x:c r="E243" s="47" t="str">
        <x:v>고정</x:v>
      </x:c>
      <x:c r="F243" s="48" t="n">
        <x:v>60</x:v>
      </x:c>
      <x:c r="G243" s="48" t="n">
        <x:v>2</x:v>
      </x:c>
      <x:c r="H243" s="48" t="n">
        <x:v>48</x:v>
      </x:c>
      <x:c r="I243" s="49" t="n">
        <x:v>-78</x:v>
      </x:c>
      <x:c r="J243" s="49" t="n">
        <x:v>390</x:v>
      </x:c>
      <x:c r="K243" s="49" t="n">
        <x:v>15</x:v>
      </x:c>
      <x:c r="L243" s="49" t="n">
        <x:v>3</x:v>
      </x:c>
      <x:c r="M243" s="49" t="n">
        <x:v>0</x:v>
      </x:c>
      <x:c r="N243" s="49" t="n">
        <x:v>14.635</x:v>
      </x:c>
      <x:c r="O243" s="49" t="n">
        <x:v>8.8023</x:v>
      </x:c>
      <x:c r="P243" s="49" t="n">
        <x:f>IF(OR(N243="",O243=""),"",2*N243*O243/(N243+O243))</x:f>
        <x:v>10.99287550187095</x:v>
      </x:c>
      <x:c r="Q243" s="58" t="str">
        <x:v>1시간_측정_자유열람실1_오열에서_3.jpg; 1시간_측정_자유열람실1_오열에서_4.jpg</x:v>
      </x:c>
      <x:c r="R243" s="58" t="str">
        <x:v>기존 Excel 대응</x:v>
      </x:c>
      <x:c r="S243" s="59" t="str"/>
    </x:row>
    <x:row r="244" ht="15" hidden="0" customHeight="1">
      <x:c r="A244" s="46" t="str">
        <x:v>FREE1_1H_R2</x:v>
      </x:c>
      <x:c r="B244" s="47" t="str">
        <x:v>일반</x:v>
      </x:c>
      <x:c r="C244" s="47" t="str">
        <x:v>오픈열람실2</x:v>
      </x:c>
      <x:c r="D244" s="47" t="str">
        <x:v>자유열람실1 AP</x:v>
      </x:c>
      <x:c r="E244" s="47" t="str">
        <x:v>고정</x:v>
      </x:c>
      <x:c r="F244" s="48" t="n">
        <x:v>60</x:v>
      </x:c>
      <x:c r="G244" s="48" t="n">
        <x:v>2</x:v>
      </x:c>
      <x:c r="H244" s="48" t="n">
        <x:v>49</x:v>
      </x:c>
      <x:c r="I244" s="49" t="n">
        <x:v>-75</x:v>
      </x:c>
      <x:c r="J244" s="49" t="n">
        <x:v>390</x:v>
      </x:c>
      <x:c r="K244" s="49" t="n">
        <x:v>13</x:v>
      </x:c>
      <x:c r="L244" s="49" t="n">
        <x:v>3</x:v>
      </x:c>
      <x:c r="M244" s="49" t="n">
        <x:v>0</x:v>
      </x:c>
      <x:c r="N244" s="49" t="n">
        <x:v>14.8344</x:v>
      </x:c>
      <x:c r="O244" s="49" t="n">
        <x:v>7.7507</x:v>
      </x:c>
      <x:c r="P244" s="49" t="n">
        <x:f>IF(OR(N244="",O244=""),"",2*N244*O244/(N244+O244))</x:f>
        <x:v>10.181667035346313</x:v>
      </x:c>
      <x:c r="Q244" s="58" t="str">
        <x:v>1시간_측정_자유열람실1_오열에서_3.jpg; 1시간_측정_자유열람실1_오열에서_4.jpg</x:v>
      </x:c>
      <x:c r="R244" s="58" t="str">
        <x:v>기존 Excel 대응</x:v>
      </x:c>
      <x:c r="S244" s="59" t="str"/>
    </x:row>
    <x:row r="245" ht="15" hidden="0" customHeight="1">
      <x:c r="A245" s="46" t="str">
        <x:v>FREE1_1H_R2</x:v>
      </x:c>
      <x:c r="B245" s="47" t="str">
        <x:v>일반</x:v>
      </x:c>
      <x:c r="C245" s="47" t="str">
        <x:v>오픈열람실2</x:v>
      </x:c>
      <x:c r="D245" s="47" t="str">
        <x:v>자유열람실1 AP</x:v>
      </x:c>
      <x:c r="E245" s="47" t="str">
        <x:v>고정</x:v>
      </x:c>
      <x:c r="F245" s="48" t="n">
        <x:v>60</x:v>
      </x:c>
      <x:c r="G245" s="48" t="n">
        <x:v>2</x:v>
      </x:c>
      <x:c r="H245" s="48" t="n">
        <x:v>50</x:v>
      </x:c>
      <x:c r="I245" s="49" t="n">
        <x:v>-77</x:v>
      </x:c>
      <x:c r="J245" s="49" t="n">
        <x:v>390</x:v>
      </x:c>
      <x:c r="K245" s="49" t="n">
        <x:v>12</x:v>
      </x:c>
      <x:c r="L245" s="49" t="n">
        <x:v>4</x:v>
      </x:c>
      <x:c r="M245" s="49" t="n">
        <x:v>0</x:v>
      </x:c>
      <x:c r="N245" s="49" t="n">
        <x:v>9.8344</x:v>
      </x:c>
      <x:c r="O245" s="49" t="n">
        <x:v>5.0147</x:v>
      </x:c>
      <x:c r="P245" s="49" t="n">
        <x:f>IF(OR(N245="",O245=""),"",2*N245*O245/(N245+O245))</x:f>
        <x:v>6.642364275275943</x:v>
      </x:c>
      <x:c r="Q245" s="58" t="str">
        <x:v>1시간_측정_자유열람실1_오열에서_3.jpg; 1시간_측정_자유열람실1_오열에서_4.jpg</x:v>
      </x:c>
      <x:c r="R245" s="58" t="str">
        <x:v>기존 Excel 대응</x:v>
      </x:c>
      <x:c r="S245" s="59" t="str"/>
    </x:row>
    <x:row r="246" ht="15" hidden="0" customHeight="1">
      <x:c r="A246" s="46" t="str">
        <x:v>FREE1_1H_R2</x:v>
      </x:c>
      <x:c r="B246" s="47" t="str">
        <x:v>일반</x:v>
      </x:c>
      <x:c r="C246" s="47" t="str">
        <x:v>오픈열람실2</x:v>
      </x:c>
      <x:c r="D246" s="47" t="str">
        <x:v>자유열람실1 AP</x:v>
      </x:c>
      <x:c r="E246" s="47" t="str">
        <x:v>고정</x:v>
      </x:c>
      <x:c r="F246" s="48" t="n">
        <x:v>60</x:v>
      </x:c>
      <x:c r="G246" s="48" t="n">
        <x:v>2</x:v>
      </x:c>
      <x:c r="H246" s="48" t="n">
        <x:v>51</x:v>
      </x:c>
      <x:c r="I246" s="49" t="n">
        <x:v>-74</x:v>
      </x:c>
      <x:c r="J246" s="49" t="n">
        <x:v>390</x:v>
      </x:c>
      <x:c r="K246" s="49" t="n">
        <x:v>15</x:v>
      </x:c>
      <x:c r="L246" s="49" t="n">
        <x:v>6</x:v>
      </x:c>
      <x:c r="M246" s="49" t="n">
        <x:v>0</x:v>
      </x:c>
      <x:c r="N246" s="49" t="n">
        <x:v>8.7894</x:v>
      </x:c>
      <x:c r="O246" s="49" t="n">
        <x:v>5.2299</x:v>
      </x:c>
      <x:c r="P246" s="49" t="n">
        <x:f>IF(OR(N246="",O246=""),"",2*N246*O246/(N246+O246))</x:f>
        <x:v>6.557771509276496</x:v>
      </x:c>
      <x:c r="Q246" s="58" t="str">
        <x:v>1시간_측정_자유열람실1_오열에서_3.jpg; 1시간_측정_자유열람실1_오열에서_4.jpg</x:v>
      </x:c>
      <x:c r="R246" s="58" t="str">
        <x:v>기존 Excel 대응</x:v>
      </x:c>
      <x:c r="S246" s="59" t="str"/>
    </x:row>
    <x:row r="247" ht="15" hidden="0" customHeight="1">
      <x:c r="A247" s="46" t="str">
        <x:v>FREE1_1H_R2</x:v>
      </x:c>
      <x:c r="B247" s="47" t="str">
        <x:v>일반</x:v>
      </x:c>
      <x:c r="C247" s="47" t="str">
        <x:v>오픈열람실2</x:v>
      </x:c>
      <x:c r="D247" s="47" t="str">
        <x:v>자유열람실1 AP</x:v>
      </x:c>
      <x:c r="E247" s="47" t="str">
        <x:v>고정</x:v>
      </x:c>
      <x:c r="F247" s="48" t="n">
        <x:v>60</x:v>
      </x:c>
      <x:c r="G247" s="48" t="n">
        <x:v>2</x:v>
      </x:c>
      <x:c r="H247" s="48" t="n">
        <x:v>52</x:v>
      </x:c>
      <x:c r="I247" s="49" t="n">
        <x:v>-70</x:v>
      </x:c>
      <x:c r="J247" s="49" t="n">
        <x:v>390</x:v>
      </x:c>
      <x:c r="K247" s="49" t="n">
        <x:v>9</x:v>
      </x:c>
      <x:c r="L247" s="49" t="n">
        <x:v>3</x:v>
      </x:c>
      <x:c r="M247" s="49" t="n">
        <x:v>0</x:v>
      </x:c>
      <x:c r="N247" s="49" t="n">
        <x:v>10.0457</x:v>
      </x:c>
      <x:c r="O247" s="49" t="n">
        <x:v>5.6343</x:v>
      </x:c>
      <x:c r="P247" s="49" t="n">
        <x:f>IF(OR(N247="",O247=""),"",2*N247*O247/(N247+O247))</x:f>
        <x:v>7.219449937499999</x:v>
      </x:c>
      <x:c r="Q247" s="58" t="str">
        <x:v>1시간_측정_자유열람실1_오열에서_3.jpg; 1시간_측정_자유열람실1_오열에서_4.jpg</x:v>
      </x:c>
      <x:c r="R247" s="58" t="str">
        <x:v>기존 Excel 대응</x:v>
      </x:c>
      <x:c r="S247" s="59" t="str"/>
    </x:row>
    <x:row r="248" ht="15" hidden="0" customHeight="1">
      <x:c r="A248" s="46" t="str">
        <x:v>FREE1_1H_R2</x:v>
      </x:c>
      <x:c r="B248" s="47" t="str">
        <x:v>일반</x:v>
      </x:c>
      <x:c r="C248" s="47" t="str">
        <x:v>오픈열람실2</x:v>
      </x:c>
      <x:c r="D248" s="47" t="str">
        <x:v>자유열람실1 AP</x:v>
      </x:c>
      <x:c r="E248" s="47" t="str">
        <x:v>고정</x:v>
      </x:c>
      <x:c r="F248" s="48" t="n">
        <x:v>60</x:v>
      </x:c>
      <x:c r="G248" s="48" t="n">
        <x:v>2</x:v>
      </x:c>
      <x:c r="H248" s="48" t="n">
        <x:v>53</x:v>
      </x:c>
      <x:c r="I248" s="49" t="n">
        <x:v>-77</x:v>
      </x:c>
      <x:c r="J248" s="49" t="n">
        <x:v>458.75</x:v>
      </x:c>
      <x:c r="K248" s="49" t="n">
        <x:v>16</x:v>
      </x:c>
      <x:c r="L248" s="49" t="n">
        <x:v>20</x:v>
      </x:c>
      <x:c r="M248" s="49" t="n">
        <x:v>0</x:v>
      </x:c>
      <x:c r="N248" s="49" t="n">
        <x:v>7.1139</x:v>
      </x:c>
      <x:c r="O248" s="49" t="n">
        <x:v>0.6272</x:v>
      </x:c>
      <x:c r="P248" s="49" t="n">
        <x:f>IF(OR(N248="",O248=""),"",2*N248*O248/(N248+O248))</x:f>
        <x:v>1.152765906654093</x:v>
      </x:c>
      <x:c r="Q248" s="58" t="str">
        <x:v>1시간_측정_자유열람실1_오열에서_3.jpg; 1시간_측정_자유열람실1_오열에서_4.jpg</x:v>
      </x:c>
      <x:c r="R248" s="58" t="str">
        <x:v>기존 Excel 대응</x:v>
      </x:c>
      <x:c r="S248" s="59" t="str"/>
    </x:row>
    <x:row r="249" ht="15" hidden="0" customHeight="1">
      <x:c r="A249" s="46" t="str">
        <x:v>FREE1_1H_R2</x:v>
      </x:c>
      <x:c r="B249" s="47" t="str">
        <x:v>일반</x:v>
      </x:c>
      <x:c r="C249" s="47" t="str">
        <x:v>오픈열람실2</x:v>
      </x:c>
      <x:c r="D249" s="47" t="str">
        <x:v>자유열람실1 AP</x:v>
      </x:c>
      <x:c r="E249" s="47" t="str">
        <x:v>고정</x:v>
      </x:c>
      <x:c r="F249" s="48" t="n">
        <x:v>60</x:v>
      </x:c>
      <x:c r="G249" s="48" t="n">
        <x:v>2</x:v>
      </x:c>
      <x:c r="H249" s="48" t="n">
        <x:v>54</x:v>
      </x:c>
      <x:c r="I249" s="49" t="n">
        <x:v>-77</x:v>
      </x:c>
      <x:c r="J249" s="49" t="n">
        <x:v>390</x:v>
      </x:c>
      <x:c r="K249" s="49" t="n">
        <x:v>8</x:v>
      </x:c>
      <x:c r="L249" s="49" t="n">
        <x:v>3</x:v>
      </x:c>
      <x:c r="M249" s="49" t="n">
        <x:v>0</x:v>
      </x:c>
      <x:c r="N249" s="49" t="n">
        <x:v>10.4593</x:v>
      </x:c>
      <x:c r="O249" s="49" t="n">
        <x:v>6.9163</x:v>
      </x:c>
      <x:c r="P249" s="49" t="n">
        <x:f>IF(OR(N249="",O249=""),"",2*N249*O249/(N249+O249))</x:f>
        <x:v>8.326579409056379</x:v>
      </x:c>
      <x:c r="Q249" s="58" t="str">
        <x:v>1시간_측정_자유열람실1_오열에서_3.jpg; 1시간_측정_자유열람실1_오열에서_4.jpg</x:v>
      </x:c>
      <x:c r="R249" s="58" t="str">
        <x:v>기존 Excel 대응</x:v>
      </x:c>
      <x:c r="S249" s="59" t="str"/>
    </x:row>
    <x:row r="250" ht="15" hidden="0" customHeight="1">
      <x:c r="A250" s="46" t="str">
        <x:v>FREE1_1H_R2</x:v>
      </x:c>
      <x:c r="B250" s="47" t="str">
        <x:v>일반</x:v>
      </x:c>
      <x:c r="C250" s="47" t="str">
        <x:v>오픈열람실2</x:v>
      </x:c>
      <x:c r="D250" s="47" t="str">
        <x:v>자유열람실1 AP</x:v>
      </x:c>
      <x:c r="E250" s="47" t="str">
        <x:v>고정</x:v>
      </x:c>
      <x:c r="F250" s="48" t="n">
        <x:v>60</x:v>
      </x:c>
      <x:c r="G250" s="48" t="n">
        <x:v>2</x:v>
      </x:c>
      <x:c r="H250" s="48" t="n">
        <x:v>55</x:v>
      </x:c>
      <x:c r="I250" s="49" t="n">
        <x:v>-74</x:v>
      </x:c>
      <x:c r="J250" s="49" t="n">
        <x:v>390</x:v>
      </x:c>
      <x:c r="K250" s="49" t="n">
        <x:v>9</x:v>
      </x:c>
      <x:c r="L250" s="49" t="n">
        <x:v>3</x:v>
      </x:c>
      <x:c r="M250" s="49" t="n">
        <x:v>0</x:v>
      </x:c>
      <x:c r="N250" s="49" t="n">
        <x:v>9.2148</x:v>
      </x:c>
      <x:c r="O250" s="49" t="n">
        <x:v>9.0058</x:v>
      </x:c>
      <x:c r="P250" s="49" t="n">
        <x:f>IF(OR(N250="",O250=""),"",2*N250*O250/(N250+O250))</x:f>
        <x:v>9.109101329264679</x:v>
      </x:c>
      <x:c r="Q250" s="58" t="str">
        <x:v>1시간_측정_자유열람실1_오열에서_3.jpg; 1시간_측정_자유열람실1_오열에서_4.jpg</x:v>
      </x:c>
      <x:c r="R250" s="58" t="str">
        <x:v>기존 Excel 대응</x:v>
      </x:c>
      <x:c r="S250" s="59" t="str"/>
    </x:row>
    <x:row r="251" ht="15" hidden="0" customHeight="1">
      <x:c r="A251" s="46" t="str">
        <x:v>FREE1_1H_R2</x:v>
      </x:c>
      <x:c r="B251" s="47" t="str">
        <x:v>일반</x:v>
      </x:c>
      <x:c r="C251" s="47" t="str">
        <x:v>오픈열람실2</x:v>
      </x:c>
      <x:c r="D251" s="47" t="str">
        <x:v>자유열람실1 AP</x:v>
      </x:c>
      <x:c r="E251" s="47" t="str">
        <x:v>고정</x:v>
      </x:c>
      <x:c r="F251" s="48" t="n">
        <x:v>60</x:v>
      </x:c>
      <x:c r="G251" s="48" t="n">
        <x:v>2</x:v>
      </x:c>
      <x:c r="H251" s="48" t="n">
        <x:v>56</x:v>
      </x:c>
      <x:c r="I251" s="49" t="n">
        <x:v>-77</x:v>
      </x:c>
      <x:c r="J251" s="49" t="n">
        <x:v>390</x:v>
      </x:c>
      <x:c r="K251" s="49" t="n">
        <x:v>9</x:v>
      </x:c>
      <x:c r="L251" s="49" t="n">
        <x:v>7</x:v>
      </x:c>
      <x:c r="M251" s="49" t="n">
        <x:v>0</x:v>
      </x:c>
      <x:c r="N251" s="49" t="n">
        <x:v>14.2109</x:v>
      </x:c>
      <x:c r="O251" s="49" t="n">
        <x:v>10.6887</x:v>
      </x:c>
      <x:c r="P251" s="49" t="n">
        <x:f>IF(OR(N251="",O251=""),"",2*N251*O251/(N251+O251))</x:f>
        <x:v>12.200681684043118</x:v>
      </x:c>
      <x:c r="Q251" s="58" t="str">
        <x:v>1시간_측정_자유열람실1_오열에서_3.jpg; 1시간_측정_자유열람실1_오열에서_4.jpg</x:v>
      </x:c>
      <x:c r="R251" s="58" t="str">
        <x:v>기존 Excel 대응</x:v>
      </x:c>
      <x:c r="S251" s="59" t="str"/>
    </x:row>
    <x:row r="252" ht="15" hidden="0" customHeight="1">
      <x:c r="A252" s="46" t="str">
        <x:v>FREE1_1H_R2</x:v>
      </x:c>
      <x:c r="B252" s="47" t="str">
        <x:v>일반</x:v>
      </x:c>
      <x:c r="C252" s="47" t="str">
        <x:v>오픈열람실2</x:v>
      </x:c>
      <x:c r="D252" s="47" t="str">
        <x:v>자유열람실1 AP</x:v>
      </x:c>
      <x:c r="E252" s="47" t="str">
        <x:v>고정</x:v>
      </x:c>
      <x:c r="F252" s="48" t="n">
        <x:v>60</x:v>
      </x:c>
      <x:c r="G252" s="48" t="n">
        <x:v>2</x:v>
      </x:c>
      <x:c r="H252" s="48" t="n">
        <x:v>57</x:v>
      </x:c>
      <x:c r="I252" s="49" t="n">
        <x:v>-77</x:v>
      </x:c>
      <x:c r="J252" s="49" t="n">
        <x:v>390</x:v>
      </x:c>
      <x:c r="K252" s="49" t="n">
        <x:v>21</x:v>
      </x:c>
      <x:c r="L252" s="49" t="n">
        <x:v>3</x:v>
      </x:c>
      <x:c r="M252" s="49" t="n">
        <x:v>0</x:v>
      </x:c>
      <x:c r="N252" s="49" t="n">
        <x:v>16.9584</x:v>
      </x:c>
      <x:c r="O252" s="49" t="n">
        <x:v>10.4706</x:v>
      </x:c>
      <x:c r="P252" s="49" t="n">
        <x:f>IF(OR(N252="",O252=""),"",2*N252*O252/(N252+O252))</x:f>
        <x:v>12.94721812971672</x:v>
      </x:c>
      <x:c r="Q252" s="58" t="str">
        <x:v>1시간_측정_자유열람실1_오열에서_3.jpg; 1시간_측정_자유열람실1_오열에서_4.jpg</x:v>
      </x:c>
      <x:c r="R252" s="58" t="str">
        <x:v>기존 Excel 대응</x:v>
      </x:c>
      <x:c r="S252" s="59" t="str"/>
    </x:row>
    <x:row r="253" ht="15" hidden="0" customHeight="1">
      <x:c r="A253" s="46" t="str">
        <x:v>FREE1_1H_R2</x:v>
      </x:c>
      <x:c r="B253" s="47" t="str">
        <x:v>일반</x:v>
      </x:c>
      <x:c r="C253" s="47" t="str">
        <x:v>오픈열람실2</x:v>
      </x:c>
      <x:c r="D253" s="47" t="str">
        <x:v>자유열람실1 AP</x:v>
      </x:c>
      <x:c r="E253" s="47" t="str">
        <x:v>고정</x:v>
      </x:c>
      <x:c r="F253" s="48" t="n">
        <x:v>60</x:v>
      </x:c>
      <x:c r="G253" s="48" t="n">
        <x:v>2</x:v>
      </x:c>
      <x:c r="H253" s="48" t="n">
        <x:v>58</x:v>
      </x:c>
      <x:c r="I253" s="49" t="n">
        <x:v>-75</x:v>
      </x:c>
      <x:c r="J253" s="49" t="n">
        <x:v>390</x:v>
      </x:c>
      <x:c r="K253" s="49" t="n">
        <x:v>5</x:v>
      </x:c>
      <x:c r="L253" s="49" t="n">
        <x:v>6</x:v>
      </x:c>
      <x:c r="M253" s="49" t="n">
        <x:v>0</x:v>
      </x:c>
      <x:c r="N253" s="49" t="n">
        <x:v>11.5158</x:v>
      </x:c>
      <x:c r="O253" s="49" t="n">
        <x:v>7.3236</x:v>
      </x:c>
      <x:c r="P253" s="49" t="n">
        <x:f>IF(OR(N253="",O253=""),"",2*N253*O253/(N253+O253))</x:f>
        <x:v>8.953269518137521</x:v>
      </x:c>
      <x:c r="Q253" s="58" t="str">
        <x:v>1시간_측정_자유열람실1_오열에서_3.jpg; 1시간_측정_자유열람실1_오열에서_4.jpg</x:v>
      </x:c>
      <x:c r="R253" s="58" t="str">
        <x:v>기존 Excel 대응</x:v>
      </x:c>
      <x:c r="S253" s="59" t="str"/>
    </x:row>
    <x:row r="254" ht="15" hidden="0" customHeight="1">
      <x:c r="A254" s="46" t="str">
        <x:v>FREE1_1H_R2</x:v>
      </x:c>
      <x:c r="B254" s="47" t="str">
        <x:v>일반</x:v>
      </x:c>
      <x:c r="C254" s="47" t="str">
        <x:v>오픈열람실2</x:v>
      </x:c>
      <x:c r="D254" s="47" t="str">
        <x:v>자유열람실1 AP</x:v>
      </x:c>
      <x:c r="E254" s="47" t="str">
        <x:v>고정</x:v>
      </x:c>
      <x:c r="F254" s="48" t="n">
        <x:v>60</x:v>
      </x:c>
      <x:c r="G254" s="48" t="n">
        <x:v>2</x:v>
      </x:c>
      <x:c r="H254" s="48" t="n">
        <x:v>59</x:v>
      </x:c>
      <x:c r="I254" s="49" t="n">
        <x:v>-72</x:v>
      </x:c>
      <x:c r="J254" s="49" t="n">
        <x:v>390</x:v>
      </x:c>
      <x:c r="K254" s="49" t="n">
        <x:v>8</x:v>
      </x:c>
      <x:c r="L254" s="49" t="n">
        <x:v>3</x:v>
      </x:c>
      <x:c r="M254" s="49" t="n">
        <x:v>0</x:v>
      </x:c>
      <x:c r="N254" s="49" t="n">
        <x:v>12.548</x:v>
      </x:c>
      <x:c r="O254" s="49" t="n">
        <x:v>8.2812</x:v>
      </x:c>
      <x:c r="P254" s="49" t="n">
        <x:f>IF(OR(N254="",O254=""),"",2*N254*O254/(N254+O254))</x:f>
        <x:v>9.977579321337354</x:v>
      </x:c>
      <x:c r="Q254" s="58" t="str">
        <x:v>1시간_측정_자유열람실1_오열에서_3.jpg; 1시간_측정_자유열람실1_오열에서_4.jpg</x:v>
      </x:c>
      <x:c r="R254" s="58" t="str">
        <x:v>기존 Excel 대응</x:v>
      </x:c>
      <x:c r="S254" s="59" t="str"/>
    </x:row>
    <x:row r="255" ht="15" hidden="0" customHeight="1">
      <x:c r="A255" s="46" t="str">
        <x:v>FREE1_1H_R2</x:v>
      </x:c>
      <x:c r="B255" s="47" t="str">
        <x:v>일반</x:v>
      </x:c>
      <x:c r="C255" s="47" t="str">
        <x:v>오픈열람실2</x:v>
      </x:c>
      <x:c r="D255" s="47" t="str">
        <x:v>자유열람실1 AP</x:v>
      </x:c>
      <x:c r="E255" s="47" t="str">
        <x:v>고정</x:v>
      </x:c>
      <x:c r="F255" s="48" t="n">
        <x:v>60</x:v>
      </x:c>
      <x:c r="G255" s="48" t="n">
        <x:v>2</x:v>
      </x:c>
      <x:c r="H255" s="48" t="n">
        <x:v>60</x:v>
      </x:c>
      <x:c r="I255" s="49" t="n">
        <x:v>-77</x:v>
      </x:c>
      <x:c r="J255" s="49" t="n">
        <x:v>390</x:v>
      </x:c>
      <x:c r="K255" s="49" t="n">
        <x:v>11</x:v>
      </x:c>
      <x:c r="L255" s="49" t="n">
        <x:v>3</x:v>
      </x:c>
      <x:c r="M255" s="49" t="n">
        <x:v>0</x:v>
      </x:c>
      <x:c r="N255" s="49" t="n">
        <x:v>13.5974</x:v>
      </x:c>
      <x:c r="O255" s="49" t="n">
        <x:v>7.1243</x:v>
      </x:c>
      <x:c r="P255" s="49" t="n">
        <x:f>IF(OR(N255="",O255=""),"",2*N255*O255/(N255+O255))</x:f>
        <x:v>9.349807865184806</x:v>
      </x:c>
      <x:c r="Q255" s="58" t="str">
        <x:v>1시간_측정_자유열람실1_오열에서_3.jpg; 1시간_측정_자유열람실1_오열에서_4.jpg</x:v>
      </x:c>
      <x:c r="R255" s="58" t="str">
        <x:v>기존 Excel 대응</x:v>
      </x:c>
      <x:c r="S255" s="59" t="str"/>
    </x:row>
    <x:row r="256" ht="15" hidden="0" customHeight="1">
      <x:c r="A256" s="46" t="str">
        <x:v>FREE1_1H_R2</x:v>
      </x:c>
      <x:c r="B256" s="47" t="str">
        <x:v>일반</x:v>
      </x:c>
      <x:c r="C256" s="47" t="str">
        <x:v>오픈열람실2</x:v>
      </x:c>
      <x:c r="D256" s="47" t="str">
        <x:v>자유열람실1 AP</x:v>
      </x:c>
      <x:c r="E256" s="47" t="str">
        <x:v>고정</x:v>
      </x:c>
      <x:c r="F256" s="48" t="n">
        <x:v>60</x:v>
      </x:c>
      <x:c r="G256" s="48" t="n">
        <x:v>2</x:v>
      </x:c>
      <x:c r="H256" s="48" t="n">
        <x:v>61</x:v>
      </x:c>
      <x:c r="I256" s="49" t="n">
        <x:v>-72</x:v>
      </x:c>
      <x:c r="J256" s="49" t="n">
        <x:v>390</x:v>
      </x:c>
      <x:c r="K256" s="49" t="n">
        <x:v>5</x:v>
      </x:c>
      <x:c r="L256" s="49" t="n">
        <x:v>3</x:v>
      </x:c>
      <x:c r="M256" s="49" t="n">
        <x:v>0</x:v>
      </x:c>
      <x:c r="N256" s="49" t="n">
        <x:v>6.7142</x:v>
      </x:c>
      <x:c r="O256" s="49" t="n">
        <x:v>6.4864</x:v>
      </x:c>
      <x:c r="P256" s="49" t="n">
        <x:f>IF(OR(N256="",O256=""),"",2*N256*O256/(N256+O256))</x:f>
        <x:v>6.598334451464327</x:v>
      </x:c>
      <x:c r="Q256" s="58" t="str">
        <x:v>1시간_측정_자유열람실1_오열에서_3.jpg; 1시간_측정_자유열람실1_오열에서_4.jpg</x:v>
      </x:c>
      <x:c r="R256" s="58" t="str">
        <x:v>기존 Excel 대응</x:v>
      </x:c>
      <x:c r="S256" s="59" t="str"/>
    </x:row>
    <x:row r="257" ht="15" hidden="0" customHeight="1">
      <x:c r="A257" s="46" t="str">
        <x:v>FREE1_1H_R2</x:v>
      </x:c>
      <x:c r="B257" s="47" t="str">
        <x:v>일반</x:v>
      </x:c>
      <x:c r="C257" s="47" t="str">
        <x:v>오픈열람실2</x:v>
      </x:c>
      <x:c r="D257" s="47" t="str">
        <x:v>자유열람실1 AP</x:v>
      </x:c>
      <x:c r="E257" s="47" t="str">
        <x:v>고정</x:v>
      </x:c>
      <x:c r="F257" s="48" t="n">
        <x:v>60</x:v>
      </x:c>
      <x:c r="G257" s="48" t="n">
        <x:v>2</x:v>
      </x:c>
      <x:c r="H257" s="48" t="n">
        <x:v>62</x:v>
      </x:c>
      <x:c r="I257" s="49" t="n">
        <x:v>-77</x:v>
      </x:c>
      <x:c r="J257" s="49" t="n">
        <x:v>390</x:v>
      </x:c>
      <x:c r="K257" s="49" t="n">
        <x:v>7</x:v>
      </x:c>
      <x:c r="L257" s="49" t="n">
        <x:v>5</x:v>
      </x:c>
      <x:c r="M257" s="49" t="n">
        <x:v>0</x:v>
      </x:c>
      <x:c r="N257" s="49" t="n">
        <x:v>6.4832</x:v>
      </x:c>
      <x:c r="O257" s="49" t="n">
        <x:v>6.6879</x:v>
      </x:c>
      <x:c r="P257" s="49" t="n">
        <x:f>IF(OR(N257="",O257=""),"",2*N257*O257/(N257+O257))</x:f>
        <x:v>6.5839593169894695</x:v>
      </x:c>
      <x:c r="Q257" s="58" t="str">
        <x:v>1시간_측정_자유열람실1_오열에서_3.jpg; 1시간_측정_자유열람실1_오열에서_4.jpg</x:v>
      </x:c>
      <x:c r="R257" s="58" t="str">
        <x:v>기존 Excel 대응</x:v>
      </x:c>
      <x:c r="S257" s="59" t="str"/>
    </x:row>
    <x:row r="258" ht="15" hidden="0" customHeight="1">
      <x:c r="A258" s="46" t="str">
        <x:v>FREE1_1H_R2</x:v>
      </x:c>
      <x:c r="B258" s="47" t="str">
        <x:v>일반</x:v>
      </x:c>
      <x:c r="C258" s="47" t="str">
        <x:v>오픈열람실2</x:v>
      </x:c>
      <x:c r="D258" s="47" t="str">
        <x:v>자유열람실1 AP</x:v>
      </x:c>
      <x:c r="E258" s="47" t="str">
        <x:v>고정</x:v>
      </x:c>
      <x:c r="F258" s="48" t="n">
        <x:v>60</x:v>
      </x:c>
      <x:c r="G258" s="48" t="n">
        <x:v>2</x:v>
      </x:c>
      <x:c r="H258" s="48" t="n">
        <x:v>63</x:v>
      </x:c>
      <x:c r="I258" s="49" t="n">
        <x:v>-77</x:v>
      </x:c>
      <x:c r="J258" s="49" t="n">
        <x:v>458.75</x:v>
      </x:c>
      <x:c r="K258" s="49" t="n">
        <x:v>8</x:v>
      </x:c>
      <x:c r="L258" s="49" t="n">
        <x:v>8</x:v>
      </x:c>
      <x:c r="M258" s="49" t="n">
        <x:v>0</x:v>
      </x:c>
      <x:c r="N258" s="49" t="n">
        <x:v>5.4466</x:v>
      </x:c>
      <x:c r="O258" s="49" t="n">
        <x:v>7.3181</x:v>
      </x:c>
      <x:c r="P258" s="49" t="n">
        <x:f>IF(OR(N258="",O258=""),"",2*N258*O258/(N258+O258))</x:f>
        <x:v>6.245154756476847</x:v>
      </x:c>
      <x:c r="Q258" s="58" t="str">
        <x:v>1시간_측정_자유열람실1_오열에서_3.jpg; 1시간_측정_자유열람실1_오열에서_4.jpg</x:v>
      </x:c>
      <x:c r="R258" s="58" t="str">
        <x:v>기존 Excel 대응</x:v>
      </x:c>
      <x:c r="S258" s="59" t="str"/>
    </x:row>
    <x:row r="259" ht="15" hidden="0" customHeight="1">
      <x:c r="A259" s="46" t="str">
        <x:v>FREE1_1H_R2</x:v>
      </x:c>
      <x:c r="B259" s="47" t="str">
        <x:v>일반</x:v>
      </x:c>
      <x:c r="C259" s="47" t="str">
        <x:v>오픈열람실2</x:v>
      </x:c>
      <x:c r="D259" s="47" t="str">
        <x:v>자유열람실1 AP</x:v>
      </x:c>
      <x:c r="E259" s="47" t="str">
        <x:v>고정</x:v>
      </x:c>
      <x:c r="F259" s="48" t="n">
        <x:v>60</x:v>
      </x:c>
      <x:c r="G259" s="48" t="n">
        <x:v>2</x:v>
      </x:c>
      <x:c r="H259" s="48" t="n">
        <x:v>64</x:v>
      </x:c>
      <x:c r="I259" s="49" t="n">
        <x:v>-72</x:v>
      </x:c>
      <x:c r="J259" s="49" t="n">
        <x:v>390</x:v>
      </x:c>
      <x:c r="K259" s="49" t="n">
        <x:v>8</x:v>
      </x:c>
      <x:c r="L259" s="49" t="n">
        <x:v>5</x:v>
      </x:c>
      <x:c r="M259" s="49" t="n">
        <x:v>0</x:v>
      </x:c>
      <x:c r="N259" s="49" t="n">
        <x:v>9.8312</x:v>
      </x:c>
      <x:c r="O259" s="49" t="n">
        <x:v>8.5989</x:v>
      </x:c>
      <x:c r="P259" s="49" t="n">
        <x:f>IF(OR(N259="",O259=""),"",2*N259*O259/(N259+O259))</x:f>
        <x:v>9.173852087617538</x:v>
      </x:c>
      <x:c r="Q259" s="58" t="str">
        <x:v>1시간_측정_자유열람실1_오열에서_3.jpg; 1시간_측정_자유열람실1_오열에서_4.jpg</x:v>
      </x:c>
      <x:c r="R259" s="58" t="str">
        <x:v>기존 Excel 대응</x:v>
      </x:c>
      <x:c r="S259" s="59" t="str"/>
    </x:row>
    <x:row r="260" ht="15" hidden="0" customHeight="1">
      <x:c r="A260" s="46" t="str">
        <x:v>FREE1_1H_R2</x:v>
      </x:c>
      <x:c r="B260" s="47" t="str">
        <x:v>일반</x:v>
      </x:c>
      <x:c r="C260" s="47" t="str">
        <x:v>오픈열람실2</x:v>
      </x:c>
      <x:c r="D260" s="47" t="str">
        <x:v>자유열람실1 AP</x:v>
      </x:c>
      <x:c r="E260" s="47" t="str">
        <x:v>고정</x:v>
      </x:c>
      <x:c r="F260" s="48" t="n">
        <x:v>60</x:v>
      </x:c>
      <x:c r="G260" s="48" t="n">
        <x:v>2</x:v>
      </x:c>
      <x:c r="H260" s="48" t="n">
        <x:v>65</x:v>
      </x:c>
      <x:c r="I260" s="49" t="n">
        <x:v>-78</x:v>
      </x:c>
      <x:c r="J260" s="49" t="n">
        <x:v>390</x:v>
      </x:c>
      <x:c r="K260" s="49" t="n">
        <x:v>11</x:v>
      </x:c>
      <x:c r="L260" s="49" t="n">
        <x:v>4</x:v>
      </x:c>
      <x:c r="M260" s="49" t="n">
        <x:v>0</x:v>
      </x:c>
      <x:c r="N260" s="49" t="n">
        <x:v>13.8371</x:v>
      </x:c>
      <x:c r="O260" s="49" t="n">
        <x:v>8.1681</x:v>
      </x:c>
      <x:c r="P260" s="49" t="n">
        <x:f>IF(OR(N260="",O260=""),"",2*N260*O260/(N260+O260))</x:f>
        <x:v>10.272373485358006</x:v>
      </x:c>
      <x:c r="Q260" s="58" t="str">
        <x:v>1시간_측정_자유열람실1_오열에서_3.jpg; 1시간_측정_자유열람실1_오열에서_4.jpg</x:v>
      </x:c>
      <x:c r="R260" s="58" t="str">
        <x:v>기존 Excel 대응</x:v>
      </x:c>
      <x:c r="S260" s="59" t="str"/>
    </x:row>
    <x:row r="261" ht="15" hidden="0" customHeight="1">
      <x:c r="A261" s="46" t="str">
        <x:v>FREE1_1H_R2</x:v>
      </x:c>
      <x:c r="B261" s="47" t="str">
        <x:v>일반</x:v>
      </x:c>
      <x:c r="C261" s="47" t="str">
        <x:v>오픈열람실2</x:v>
      </x:c>
      <x:c r="D261" s="47" t="str">
        <x:v>자유열람실1 AP</x:v>
      </x:c>
      <x:c r="E261" s="47" t="str">
        <x:v>고정</x:v>
      </x:c>
      <x:c r="F261" s="48" t="n">
        <x:v>60</x:v>
      </x:c>
      <x:c r="G261" s="48" t="n">
        <x:v>2</x:v>
      </x:c>
      <x:c r="H261" s="48" t="n">
        <x:v>66</x:v>
      </x:c>
      <x:c r="I261" s="49" t="n">
        <x:v>-76</x:v>
      </x:c>
      <x:c r="J261" s="49" t="n">
        <x:v>390</x:v>
      </x:c>
      <x:c r="K261" s="49" t="n">
        <x:v>6</x:v>
      </x:c>
      <x:c r="L261" s="49" t="n">
        <x:v>4</x:v>
      </x:c>
      <x:c r="M261" s="49" t="n">
        <x:v>0</x:v>
      </x:c>
      <x:c r="N261" s="49" t="n">
        <x:v>12.7484</x:v>
      </x:c>
      <x:c r="O261" s="49" t="n">
        <x:v>4.6089</x:v>
      </x:c>
      <x:c r="P261" s="49" t="n">
        <x:f>IF(OR(N261="",O261=""),"",2*N261*O261/(N261+O261))</x:f>
        <x:v>6.770188999441157</x:v>
      </x:c>
      <x:c r="Q261" s="58" t="str">
        <x:v>1시간_측정_자유열람실1_오열에서_3.jpg; 1시간_측정_자유열람실1_오열에서_4.jpg</x:v>
      </x:c>
      <x:c r="R261" s="58" t="str">
        <x:v>기존 Excel 대응</x:v>
      </x:c>
      <x:c r="S261" s="59" t="str"/>
    </x:row>
    <x:row r="262" ht="15" hidden="0" customHeight="1">
      <x:c r="A262" s="46" t="str">
        <x:v>MOVE_OPEN2_1H_R1</x:v>
      </x:c>
      <x:c r="B262" s="47" t="str">
        <x:v>이동</x:v>
      </x:c>
      <x:c r="C262" s="47" t="str">
        <x:v>실내 이동 경로</x:v>
      </x:c>
      <x:c r="D262" s="47" t="str">
        <x:v>오픈열람실2 AP</x:v>
      </x:c>
      <x:c r="E262" s="47" t="str">
        <x:v>이동</x:v>
      </x:c>
      <x:c r="F262" s="48" t="n">
        <x:v>60</x:v>
      </x:c>
      <x:c r="G262" s="48" t="n">
        <x:v>1</x:v>
      </x:c>
      <x:c r="H262" s="48" t="n">
        <x:v>1</x:v>
      </x:c>
      <x:c r="I262" s="49" t="n">
        <x:v>-52</x:v>
      </x:c>
      <x:c r="J262" s="49" t="n">
        <x:v>1201</x:v>
      </x:c>
      <x:c r="K262" s="49" t="n">
        <x:v>82</x:v>
      </x:c>
      <x:c r="L262" s="49" t="n">
        <x:v>18</x:v>
      </x:c>
      <x:c r="M262" s="49" t="n">
        <x:v>0</x:v>
      </x:c>
      <x:c r="N262" s="49" t="n">
        <x:v>18.6356</x:v>
      </x:c>
      <x:c r="O262" s="49" t="n">
        <x:v>49.9486</x:v>
      </x:c>
      <x:c r="P262" s="49" t="n">
        <x:f>IF(OR(N262="",O262=""),"",2*N262*O262/(N262+O262))</x:f>
        <x:v>27.143923240629768</x:v>
      </x:c>
      <x:c r="Q262" s="58" t="str">
        <x:v>이동하면서_오열2_1시간 측정_1.png</x:v>
      </x:c>
      <x:c r="R262" s="58" t="str">
        <x:v>기존 Excel 대응+이미지 보완</x:v>
      </x:c>
      <x:c r="S262" s="59" t="str"/>
    </x:row>
    <x:row r="263" ht="15" hidden="0" customHeight="1">
      <x:c r="A263" s="46" t="str">
        <x:v>MOVE_OPEN2_1H_R1</x:v>
      </x:c>
      <x:c r="B263" s="47" t="str">
        <x:v>이동</x:v>
      </x:c>
      <x:c r="C263" s="47" t="str">
        <x:v>실내 이동 경로</x:v>
      </x:c>
      <x:c r="D263" s="47" t="str">
        <x:v>오픈열람실2 AP</x:v>
      </x:c>
      <x:c r="E263" s="47" t="str">
        <x:v>이동</x:v>
      </x:c>
      <x:c r="F263" s="48" t="n">
        <x:v>60</x:v>
      </x:c>
      <x:c r="G263" s="48" t="n">
        <x:v>1</x:v>
      </x:c>
      <x:c r="H263" s="48" t="n">
        <x:v>2</x:v>
      </x:c>
      <x:c r="I263" s="49" t="n">
        <x:v>-50</x:v>
      </x:c>
      <x:c r="J263" s="49" t="n">
        <x:v>1201</x:v>
      </x:c>
      <x:c r="K263" s="49" t="n">
        <x:v>30</x:v>
      </x:c>
      <x:c r="L263" s="49" t="n">
        <x:v>8</x:v>
      </x:c>
      <x:c r="M263" s="49" t="n">
        <x:v>0</x:v>
      </x:c>
      <x:c r="N263" s="49" t="n">
        <x:v>5.0213</x:v>
      </x:c>
      <x:c r="O263" s="49" t="n">
        <x:v>68.3369</x:v>
      </x:c>
      <x:c r="P263" s="49" t="n">
        <x:f>IF(OR(N263="",O263=""),"",2*N263*O263/(N263+O263))</x:f>
        <x:v>9.355193447221987</x:v>
      </x:c>
      <x:c r="Q263" s="58" t="str">
        <x:v>이동하면서_오열2_1시간 측정_1.png</x:v>
      </x:c>
      <x:c r="R263" s="58" t="str">
        <x:v>기존 Excel 대응+이미지 보완</x:v>
      </x:c>
      <x:c r="S263" s="59" t="str"/>
    </x:row>
    <x:row r="264" ht="15" hidden="0" customHeight="1">
      <x:c r="A264" s="46" t="str">
        <x:v>MOVE_OPEN2_1H_R1</x:v>
      </x:c>
      <x:c r="B264" s="47" t="str">
        <x:v>이동</x:v>
      </x:c>
      <x:c r="C264" s="47" t="str">
        <x:v>실내 이동 경로</x:v>
      </x:c>
      <x:c r="D264" s="47" t="str">
        <x:v>오픈열람실2 AP</x:v>
      </x:c>
      <x:c r="E264" s="47" t="str">
        <x:v>이동</x:v>
      </x:c>
      <x:c r="F264" s="48" t="n">
        <x:v>60</x:v>
      </x:c>
      <x:c r="G264" s="48" t="n">
        <x:v>1</x:v>
      </x:c>
      <x:c r="H264" s="48" t="n">
        <x:v>3</x:v>
      </x:c>
      <x:c r="I264" s="49" t="n">
        <x:v>-50</x:v>
      </x:c>
      <x:c r="J264" s="49" t="n">
        <x:v>1201</x:v>
      </x:c>
      <x:c r="K264" s="49" t="n">
        <x:v>22</x:v>
      </x:c>
      <x:c r="L264" s="49" t="n">
        <x:v>15</x:v>
      </x:c>
      <x:c r="M264" s="49" t="n">
        <x:v>0</x:v>
      </x:c>
      <x:c r="N264" s="49" t="n">
        <x:v>13.5989</x:v>
      </x:c>
      <x:c r="O264" s="49" t="n">
        <x:v>63.4809</x:v>
      </x:c>
      <x:c r="P264" s="49" t="n">
        <x:f>IF(OR(N264="",O264=""),"",2*N264*O264/(N264+O264))</x:f>
        <x:v>22.399394160597197</x:v>
      </x:c>
      <x:c r="Q264" s="58" t="str">
        <x:v>이동하면서_오열2_1시간 측정_1.png</x:v>
      </x:c>
      <x:c r="R264" s="58" t="str">
        <x:v>기존 Excel 대응+이미지 보완</x:v>
      </x:c>
      <x:c r="S264" s="59" t="str"/>
    </x:row>
    <x:row r="265" ht="15" hidden="0" customHeight="1">
      <x:c r="A265" s="46" t="str">
        <x:v>MOVE_OPEN2_1H_R1</x:v>
      </x:c>
      <x:c r="B265" s="47" t="str">
        <x:v>이동</x:v>
      </x:c>
      <x:c r="C265" s="47" t="str">
        <x:v>실내 이동 경로</x:v>
      </x:c>
      <x:c r="D265" s="47" t="str">
        <x:v>오픈열람실2 AP</x:v>
      </x:c>
      <x:c r="E265" s="47" t="str">
        <x:v>이동</x:v>
      </x:c>
      <x:c r="F265" s="48" t="n">
        <x:v>60</x:v>
      </x:c>
      <x:c r="G265" s="48" t="n">
        <x:v>1</x:v>
      </x:c>
      <x:c r="H265" s="48" t="n">
        <x:v>4</x:v>
      </x:c>
      <x:c r="I265" s="49" t="n">
        <x:v>-54</x:v>
      </x:c>
      <x:c r="J265" s="49" t="n">
        <x:v>1201</x:v>
      </x:c>
      <x:c r="K265" s="49" t="n">
        <x:v>18</x:v>
      </x:c>
      <x:c r="L265" s="49" t="n">
        <x:v>17</x:v>
      </x:c>
      <x:c r="M265" s="49" t="n">
        <x:v>0</x:v>
      </x:c>
      <x:c r="N265" s="49" t="n">
        <x:v>11.0891</x:v>
      </x:c>
      <x:c r="O265" s="49" t="n">
        <x:v>68.0413</x:v>
      </x:c>
      <x:c r="P265" s="49" t="n">
        <x:f>IF(OR(N265="",O265=""),"",2*N265*O265/(N265+O265))</x:f>
        <x:v>19.070212707884707</x:v>
      </x:c>
      <x:c r="Q265" s="58" t="str">
        <x:v>이동하면서_오열2_1시간 측정_1.png</x:v>
      </x:c>
      <x:c r="R265" s="58" t="str">
        <x:v>기존 Excel 대응+이미지 보완</x:v>
      </x:c>
      <x:c r="S265" s="59" t="str"/>
    </x:row>
    <x:row r="266" ht="15" hidden="0" customHeight="1">
      <x:c r="A266" s="46" t="str">
        <x:v>MOVE_OPEN2_1H_R1</x:v>
      </x:c>
      <x:c r="B266" s="47" t="str">
        <x:v>이동</x:v>
      </x:c>
      <x:c r="C266" s="47" t="str">
        <x:v>실내 이동 경로</x:v>
      </x:c>
      <x:c r="D266" s="47" t="str">
        <x:v>오픈열람실2 AP</x:v>
      </x:c>
      <x:c r="E266" s="47" t="str">
        <x:v>이동</x:v>
      </x:c>
      <x:c r="F266" s="48" t="n">
        <x:v>60</x:v>
      </x:c>
      <x:c r="G266" s="48" t="n">
        <x:v>1</x:v>
      </x:c>
      <x:c r="H266" s="48" t="n">
        <x:v>5</x:v>
      </x:c>
      <x:c r="I266" s="49" t="n">
        <x:v>-54</x:v>
      </x:c>
      <x:c r="J266" s="49" t="n">
        <x:v>1201</x:v>
      </x:c>
      <x:c r="K266" s="49" t="n">
        <x:v>21</x:v>
      </x:c>
      <x:c r="L266" s="49" t="n">
        <x:v>6</x:v>
      </x:c>
      <x:c r="M266" s="49" t="n">
        <x:v>0</x:v>
      </x:c>
      <x:c r="N266" s="49" t="n">
        <x:v>17.1668</x:v>
      </x:c>
      <x:c r="O266" s="49" t="n">
        <x:v>61.8526</x:v>
      </x:c>
      <x:c r="P266" s="49" t="n">
        <x:f>IF(OR(N266="",O266=""),"",2*N266*O266/(N266+O266))</x:f>
        <x:v>26.874696939738847</x:v>
      </x:c>
      <x:c r="Q266" s="58" t="str">
        <x:v>이동하면서_오열2_1시간 측정_1.png</x:v>
      </x:c>
      <x:c r="R266" s="58" t="str">
        <x:v>기존 Excel 대응+이미지 보완</x:v>
      </x:c>
      <x:c r="S266" s="59" t="str"/>
    </x:row>
    <x:row r="267" ht="15" hidden="0" customHeight="1">
      <x:c r="A267" s="46" t="str">
        <x:v>MOVE_OPEN2_1H_R1</x:v>
      </x:c>
      <x:c r="B267" s="47" t="str">
        <x:v>이동</x:v>
      </x:c>
      <x:c r="C267" s="47" t="str">
        <x:v>실내 이동 경로</x:v>
      </x:c>
      <x:c r="D267" s="47" t="str">
        <x:v>오픈열람실2 AP</x:v>
      </x:c>
      <x:c r="E267" s="47" t="str">
        <x:v>이동</x:v>
      </x:c>
      <x:c r="F267" s="48" t="n">
        <x:v>60</x:v>
      </x:c>
      <x:c r="G267" s="48" t="n">
        <x:v>1</x:v>
      </x:c>
      <x:c r="H267" s="48" t="n">
        <x:v>6</x:v>
      </x:c>
      <x:c r="I267" s="49" t="n">
        <x:v>-50</x:v>
      </x:c>
      <x:c r="J267" s="49" t="n">
        <x:v>1201</x:v>
      </x:c>
      <x:c r="K267" s="49" t="n">
        <x:v>19</x:v>
      </x:c>
      <x:c r="L267" s="49" t="n">
        <x:v>4</x:v>
      </x:c>
      <x:c r="M267" s="49" t="n">
        <x:v>3.3333</x:v>
      </x:c>
      <x:c r="N267" s="49" t="n">
        <x:v>32.2023</x:v>
      </x:c>
      <x:c r="O267" s="49" t="n">
        <x:v>66.5311</x:v>
      </x:c>
      <x:c r="P267" s="49" t="n">
        <x:f>IF(OR(N267="",O267=""),"",2*N267*O267/(N267+O267))</x:f>
        <x:v>43.39877774957613</x:v>
      </x:c>
      <x:c r="Q267" s="58" t="str">
        <x:v>이동하면서_오열2_1시간 측정_1.png</x:v>
      </x:c>
      <x:c r="R267" s="58" t="str">
        <x:v>기존 Excel 대응+이미지 보완</x:v>
      </x:c>
      <x:c r="S267" s="59" t="str"/>
    </x:row>
    <x:row r="268" ht="15" hidden="0" customHeight="1">
      <x:c r="A268" s="46" t="str">
        <x:v>MOVE_OPEN2_1H_R1</x:v>
      </x:c>
      <x:c r="B268" s="47" t="str">
        <x:v>이동</x:v>
      </x:c>
      <x:c r="C268" s="47" t="str">
        <x:v>실내 이동 경로</x:v>
      </x:c>
      <x:c r="D268" s="47" t="str">
        <x:v>오픈열람실2 AP</x:v>
      </x:c>
      <x:c r="E268" s="47" t="str">
        <x:v>이동</x:v>
      </x:c>
      <x:c r="F268" s="48" t="n">
        <x:v>60</x:v>
      </x:c>
      <x:c r="G268" s="48" t="n">
        <x:v>1</x:v>
      </x:c>
      <x:c r="H268" s="48" t="n">
        <x:v>7</x:v>
      </x:c>
      <x:c r="I268" s="49" t="n">
        <x:v>-50</x:v>
      </x:c>
      <x:c r="J268" s="49" t="n">
        <x:v>1201</x:v>
      </x:c>
      <x:c r="K268" s="49" t="n">
        <x:v>14</x:v>
      </x:c>
      <x:c r="L268" s="49" t="n">
        <x:v>7</x:v>
      </x:c>
      <x:c r="M268" s="49" t="n">
        <x:v>0</x:v>
      </x:c>
      <x:c r="N268" s="49" t="n">
        <x:v>4.6034</x:v>
      </x:c>
      <x:c r="O268" s="49" t="n">
        <x:v>59.329</x:v>
      </x:c>
      <x:c r="P268" s="49" t="n">
        <x:f>IF(OR(N268="",O268=""),"",2*N268*O268/(N268+O268))</x:f>
        <x:v>8.54387192096652</x:v>
      </x:c>
      <x:c r="Q268" s="58" t="str">
        <x:v>이동하면서_오열2_1시간 측정_1.png</x:v>
      </x:c>
      <x:c r="R268" s="58" t="str">
        <x:v>기존 Excel 대응+이미지 보완</x:v>
      </x:c>
      <x:c r="S268" s="59" t="str"/>
    </x:row>
    <x:row r="269" ht="15" hidden="0" customHeight="1">
      <x:c r="A269" s="46" t="str">
        <x:v>MOVE_OPEN2_1H_R1</x:v>
      </x:c>
      <x:c r="B269" s="47" t="str">
        <x:v>이동</x:v>
      </x:c>
      <x:c r="C269" s="47" t="str">
        <x:v>실내 이동 경로</x:v>
      </x:c>
      <x:c r="D269" s="47" t="str">
        <x:v>오픈열람실2 AP</x:v>
      </x:c>
      <x:c r="E269" s="47" t="str">
        <x:v>이동</x:v>
      </x:c>
      <x:c r="F269" s="48" t="n">
        <x:v>60</x:v>
      </x:c>
      <x:c r="G269" s="48" t="n">
        <x:v>1</x:v>
      </x:c>
      <x:c r="H269" s="48" t="n">
        <x:v>8</x:v>
      </x:c>
      <x:c r="I269" s="49" t="n">
        <x:v>-64</x:v>
      </x:c>
      <x:c r="J269" s="49" t="n">
        <x:v>960.75</x:v>
      </x:c>
      <x:c r="K269" s="49" t="n">
        <x:v>15</x:v>
      </x:c>
      <x:c r="L269" s="49" t="n">
        <x:v>5</x:v>
      </x:c>
      <x:c r="M269" s="49" t="n">
        <x:v>0</x:v>
      </x:c>
      <x:c r="N269" s="49" t="n">
        <x:v>17.371</x:v>
      </x:c>
      <x:c r="O269" s="49" t="n">
        <x:v>65.8588</x:v>
      </x:c>
      <x:c r="P269" s="49" t="n">
        <x:f>IF(OR(N269="",O269=""),"",2*N269*O269/(N269+O269))</x:f>
        <x:v>27.490951913857778</x:v>
      </x:c>
      <x:c r="Q269" s="58" t="str">
        <x:v>이동하면서_오열2_1시간 측정_1.png</x:v>
      </x:c>
      <x:c r="R269" s="58" t="str">
        <x:v>기존 Excel 대응+이미지 보완</x:v>
      </x:c>
      <x:c r="S269" s="59" t="str"/>
    </x:row>
    <x:row r="270" ht="15" hidden="0" customHeight="1">
      <x:c r="A270" s="46" t="str">
        <x:v>MOVE_OPEN2_1H_R1</x:v>
      </x:c>
      <x:c r="B270" s="47" t="str">
        <x:v>이동</x:v>
      </x:c>
      <x:c r="C270" s="47" t="str">
        <x:v>실내 이동 경로</x:v>
      </x:c>
      <x:c r="D270" s="47" t="str">
        <x:v>오픈열람실2 AP</x:v>
      </x:c>
      <x:c r="E270" s="47" t="str">
        <x:v>이동</x:v>
      </x:c>
      <x:c r="F270" s="48" t="n">
        <x:v>60</x:v>
      </x:c>
      <x:c r="G270" s="48" t="n">
        <x:v>1</x:v>
      </x:c>
      <x:c r="H270" s="48" t="n">
        <x:v>9</x:v>
      </x:c>
      <x:c r="I270" s="49" t="n">
        <x:v>-72</x:v>
      </x:c>
      <x:c r="J270" s="49" t="n">
        <x:v>960.75</x:v>
      </x:c>
      <x:c r="K270" s="49" t="n">
        <x:v>41</x:v>
      </x:c>
      <x:c r="L270" s="49" t="n">
        <x:v>10</x:v>
      </x:c>
      <x:c r="M270" s="49" t="n">
        <x:v>0</x:v>
      </x:c>
      <x:c r="N270" s="49" t="n">
        <x:v>15.926</x:v>
      </x:c>
      <x:c r="O270" s="49" t="n">
        <x:v>69.743</x:v>
      </x:c>
      <x:c r="P270" s="49" t="n">
        <x:f>IF(OR(N270="",O270=""),"",2*N270*O270/(N270+O270))</x:f>
        <x:v>25.93066378736766</x:v>
      </x:c>
      <x:c r="Q270" s="58" t="str">
        <x:v>이동하면서_오열2_1시간 측정_1.png</x:v>
      </x:c>
      <x:c r="R270" s="58" t="str">
        <x:v>기존 Excel 대응+이미지 보완</x:v>
      </x:c>
      <x:c r="S270" s="59" t="str"/>
    </x:row>
    <x:row r="271" ht="15" hidden="0" customHeight="1">
      <x:c r="A271" s="46" t="str">
        <x:v>MOVE_OPEN2_1H_R1</x:v>
      </x:c>
      <x:c r="B271" s="47" t="str">
        <x:v>이동</x:v>
      </x:c>
      <x:c r="C271" s="47" t="str">
        <x:v>실내 이동 경로</x:v>
      </x:c>
      <x:c r="D271" s="47" t="str">
        <x:v>오픈열람실2 AP</x:v>
      </x:c>
      <x:c r="E271" s="47" t="str">
        <x:v>이동</x:v>
      </x:c>
      <x:c r="F271" s="48" t="n">
        <x:v>60</x:v>
      </x:c>
      <x:c r="G271" s="48" t="n">
        <x:v>1</x:v>
      </x:c>
      <x:c r="H271" s="48" t="n">
        <x:v>10</x:v>
      </x:c>
      <x:c r="I271" s="49" t="n">
        <x:v>-65</x:v>
      </x:c>
      <x:c r="J271" s="49" t="n">
        <x:v>924.75</x:v>
      </x:c>
      <x:c r="K271" s="49" t="n">
        <x:v>27</x:v>
      </x:c>
      <x:c r="L271" s="49" t="n">
        <x:v>21</x:v>
      </x:c>
      <x:c r="M271" s="49" t="n">
        <x:v>0</x:v>
      </x:c>
      <x:c r="N271" s="49" t="n">
        <x:v>6.6995</x:v>
      </x:c>
      <x:c r="O271" s="49" t="n">
        <x:v>42.0076</x:v>
      </x:c>
      <x:c r="P271" s="49" t="n">
        <x:f>IF(OR(N271="",O271=""),"",2*N271*O271/(N271+O271))</x:f>
        <x:v>11.556012006463124</x:v>
      </x:c>
      <x:c r="Q271" s="58" t="str">
        <x:v>이동하면서_오열2_1시간 측정_1.png</x:v>
      </x:c>
      <x:c r="R271" s="58" t="str">
        <x:v>기존 Excel 대응+이미지 보완</x:v>
      </x:c>
      <x:c r="S271" s="59" t="str"/>
    </x:row>
    <x:row r="272" ht="15" hidden="0" customHeight="1">
      <x:c r="A272" s="46" t="str">
        <x:v>MOVE_OPEN2_1H_R1</x:v>
      </x:c>
      <x:c r="B272" s="47" t="str">
        <x:v>이동</x:v>
      </x:c>
      <x:c r="C272" s="47" t="str">
        <x:v>실내 이동 경로</x:v>
      </x:c>
      <x:c r="D272" s="47" t="str">
        <x:v>오픈열람실2 AP</x:v>
      </x:c>
      <x:c r="E272" s="47" t="str">
        <x:v>이동</x:v>
      </x:c>
      <x:c r="F272" s="48" t="n">
        <x:v>60</x:v>
      </x:c>
      <x:c r="G272" s="48" t="n">
        <x:v>1</x:v>
      </x:c>
      <x:c r="H272" s="48" t="n">
        <x:v>11</x:v>
      </x:c>
      <x:c r="I272" s="49" t="n">
        <x:v>-71</x:v>
      </x:c>
      <x:c r="J272" s="49" t="n">
        <x:v>924.75</x:v>
      </x:c>
      <x:c r="K272" s="49" t="n">
        <x:v>13</x:v>
      </x:c>
      <x:c r="L272" s="49" t="n">
        <x:v>7</x:v>
      </x:c>
      <x:c r="M272" s="49" t="n">
        <x:v>0</x:v>
      </x:c>
      <x:c r="N272" s="49" t="n">
        <x:v>4.8027</x:v>
      </x:c>
      <x:c r="O272" s="49" t="n">
        <x:v>65.7867</x:v>
      </x:c>
      <x:c r="P272" s="49" t="n">
        <x:f>IF(OR(N272="",O272=""),"",2*N272*O272/(N272+O272))</x:f>
        <x:v>8.951876176593085</x:v>
      </x:c>
      <x:c r="Q272" s="58" t="str">
        <x:v>이동하면서_오열2_1시간 측정_1.png</x:v>
      </x:c>
      <x:c r="R272" s="58" t="str">
        <x:v>기존 Excel 대응+이미지 보완</x:v>
      </x:c>
      <x:c r="S272" s="59" t="str"/>
    </x:row>
    <x:row r="273" ht="15" hidden="0" customHeight="1">
      <x:c r="A273" s="46" t="str">
        <x:v>MOVE_OPEN2_1H_R1</x:v>
      </x:c>
      <x:c r="B273" s="47" t="str">
        <x:v>이동</x:v>
      </x:c>
      <x:c r="C273" s="47" t="str">
        <x:v>실내 이동 경로</x:v>
      </x:c>
      <x:c r="D273" s="47" t="str">
        <x:v>오픈열람실2 AP</x:v>
      </x:c>
      <x:c r="E273" s="47" t="str">
        <x:v>이동</x:v>
      </x:c>
      <x:c r="F273" s="48" t="n">
        <x:v>60</x:v>
      </x:c>
      <x:c r="G273" s="48" t="n">
        <x:v>1</x:v>
      </x:c>
      <x:c r="H273" s="48" t="n">
        <x:v>12</x:v>
      </x:c>
      <x:c r="I273" s="49" t="n">
        <x:v>-70</x:v>
      </x:c>
      <x:c r="J273" s="49" t="n">
        <x:v>888.75</x:v>
      </x:c>
      <x:c r="K273" s="49" t="n">
        <x:v>19</x:v>
      </x:c>
      <x:c r="L273" s="49" t="n">
        <x:v>8</x:v>
      </x:c>
      <x:c r="M273" s="49" t="n">
        <x:v>0</x:v>
      </x:c>
      <x:c r="N273" s="49" t="n">
        <x:v>7.9496</x:v>
      </x:c>
      <x:c r="O273" s="49" t="n">
        <x:v>18.7236</x:v>
      </x:c>
      <x:c r="P273" s="49" t="n">
        <x:f>IF(OR(N273="",O273=""),"",2*N273*O273/(N273+O273))</x:f>
        <x:v>11.160650432644001</x:v>
      </x:c>
      <x:c r="Q273" s="58" t="str">
        <x:v>이동하면서_오열2_1시간 측정_1.png</x:v>
      </x:c>
      <x:c r="R273" s="58" t="str">
        <x:v>기존 Excel 대응+이미지 보완</x:v>
      </x:c>
      <x:c r="S273" s="59" t="str"/>
    </x:row>
    <x:row r="274" ht="15" hidden="0" customHeight="1">
      <x:c r="A274" s="46" t="str">
        <x:v>MOVE_OPEN2_1H_R1</x:v>
      </x:c>
      <x:c r="B274" s="47" t="str">
        <x:v>이동</x:v>
      </x:c>
      <x:c r="C274" s="47" t="str">
        <x:v>실내 이동 경로</x:v>
      </x:c>
      <x:c r="D274" s="47" t="str">
        <x:v>오픈열람실2 AP</x:v>
      </x:c>
      <x:c r="E274" s="47" t="str">
        <x:v>이동</x:v>
      </x:c>
      <x:c r="F274" s="48" t="n">
        <x:v>60</x:v>
      </x:c>
      <x:c r="G274" s="48" t="n">
        <x:v>1</x:v>
      </x:c>
      <x:c r="H274" s="48" t="n">
        <x:v>13</x:v>
      </x:c>
      <x:c r="I274" s="49" t="n">
        <x:v>-69</x:v>
      </x:c>
      <x:c r="J274" s="49" t="n">
        <x:v>924.75</x:v>
      </x:c>
      <x:c r="K274" s="49" t="n">
        <x:v>24</x:v>
      </x:c>
      <x:c r="L274" s="49" t="n">
        <x:v>5</x:v>
      </x:c>
      <x:c r="M274" s="49" t="n">
        <x:v>0</x:v>
      </x:c>
      <x:c r="N274" s="49" t="n">
        <x:v>19.2537</x:v>
      </x:c>
      <x:c r="O274" s="49" t="n">
        <x:v>79.1188</x:v>
      </x:c>
      <x:c r="P274" s="49" t="n">
        <x:f>IF(OR(N274="",O274=""),"",2*N274*O274/(N274+O274))</x:f>
        <x:v>30.970639956491905</x:v>
      </x:c>
      <x:c r="Q274" s="58" t="str">
        <x:v>이동하면서_오열2_1시간 측정_1.png</x:v>
      </x:c>
      <x:c r="R274" s="58" t="str">
        <x:v>기존 Excel 대응+이미지 보완</x:v>
      </x:c>
      <x:c r="S274" s="59" t="str"/>
    </x:row>
    <x:row r="275" ht="15" hidden="0" customHeight="1">
      <x:c r="A275" s="46" t="str">
        <x:v>MOVE_OPEN2_1H_R1</x:v>
      </x:c>
      <x:c r="B275" s="47" t="str">
        <x:v>이동</x:v>
      </x:c>
      <x:c r="C275" s="47" t="str">
        <x:v>실내 이동 경로</x:v>
      </x:c>
      <x:c r="D275" s="47" t="str">
        <x:v>오픈열람실2 AP</x:v>
      </x:c>
      <x:c r="E275" s="47" t="str">
        <x:v>이동</x:v>
      </x:c>
      <x:c r="F275" s="48" t="n">
        <x:v>60</x:v>
      </x:c>
      <x:c r="G275" s="48" t="n">
        <x:v>1</x:v>
      </x:c>
      <x:c r="H275" s="48" t="n">
        <x:v>14</x:v>
      </x:c>
      <x:c r="I275" s="49" t="n">
        <x:v>-65</x:v>
      </x:c>
      <x:c r="J275" s="49" t="n">
        <x:v>924.75</x:v>
      </x:c>
      <x:c r="K275" s="49" t="n">
        <x:v>12</x:v>
      </x:c>
      <x:c r="L275" s="49" t="n">
        <x:v>12</x:v>
      </x:c>
      <x:c r="M275" s="49" t="n">
        <x:v>0</x:v>
      </x:c>
      <x:c r="N275" s="49" t="n">
        <x:v>10.2636</x:v>
      </x:c>
      <x:c r="O275" s="49" t="n">
        <x:v>70.5642</x:v>
      </x:c>
      <x:c r="P275" s="49" t="n">
        <x:f>IF(OR(N275="",O275=""),"",2*N275*O275/(N275+O275))</x:f>
        <x:v>17.920634314431425</x:v>
      </x:c>
      <x:c r="Q275" s="58" t="str">
        <x:v>이동하면서_오열2_1시간 측정_1.png</x:v>
      </x:c>
      <x:c r="R275" s="58" t="str">
        <x:v>기존 Excel 대응+이미지 보완</x:v>
      </x:c>
      <x:c r="S275" s="59" t="str"/>
    </x:row>
    <x:row r="276" ht="15" hidden="0" customHeight="1">
      <x:c r="A276" s="46" t="str">
        <x:v>MOVE_OPEN2_1H_R1</x:v>
      </x:c>
      <x:c r="B276" s="47" t="str">
        <x:v>이동</x:v>
      </x:c>
      <x:c r="C276" s="47" t="str">
        <x:v>실내 이동 경로</x:v>
      </x:c>
      <x:c r="D276" s="47" t="str">
        <x:v>오픈열람실2 AP</x:v>
      </x:c>
      <x:c r="E276" s="47" t="str">
        <x:v>이동</x:v>
      </x:c>
      <x:c r="F276" s="48" t="n">
        <x:v>60</x:v>
      </x:c>
      <x:c r="G276" s="48" t="n">
        <x:v>1</x:v>
      </x:c>
      <x:c r="H276" s="48" t="n">
        <x:v>15</x:v>
      </x:c>
      <x:c r="I276" s="49" t="n">
        <x:v>-62</x:v>
      </x:c>
      <x:c r="J276" s="49" t="n">
        <x:v>960.75</x:v>
      </x:c>
      <x:c r="K276" s="49" t="n">
        <x:v>33</x:v>
      </x:c>
      <x:c r="L276" s="49" t="n">
        <x:v>23</x:v>
      </x:c>
      <x:c r="M276" s="49" t="n">
        <x:v>3.3333</x:v>
      </x:c>
      <x:c r="N276" s="49" t="n">
        <x:v>6.0743</x:v>
      </x:c>
      <x:c r="O276" s="49" t="n">
        <x:v>28.0305</x:v>
      </x:c>
      <x:c r="P276" s="49" t="n">
        <x:f>IF(OR(N276="",O276=""),"",2*N276*O276/(N276+O276))</x:f>
        <x:v>9.984850587014146</x:v>
      </x:c>
      <x:c r="Q276" s="58" t="str">
        <x:v>이동하면서_오열2_1시간 측정_1.png</x:v>
      </x:c>
      <x:c r="R276" s="58" t="str">
        <x:v>기존 Excel 대응+이미지 보완</x:v>
      </x:c>
      <x:c r="S276" s="59" t="str"/>
    </x:row>
    <x:row r="277" ht="15" hidden="0" customHeight="1">
      <x:c r="A277" s="46" t="str">
        <x:v>MOVE_OPEN2_1H_R1</x:v>
      </x:c>
      <x:c r="B277" s="47" t="str">
        <x:v>이동</x:v>
      </x:c>
      <x:c r="C277" s="47" t="str">
        <x:v>실내 이동 경로</x:v>
      </x:c>
      <x:c r="D277" s="47" t="str">
        <x:v>오픈열람실2 AP</x:v>
      </x:c>
      <x:c r="E277" s="47" t="str">
        <x:v>이동</x:v>
      </x:c>
      <x:c r="F277" s="48" t="n">
        <x:v>60</x:v>
      </x:c>
      <x:c r="G277" s="48" t="n">
        <x:v>1</x:v>
      </x:c>
      <x:c r="H277" s="48" t="n">
        <x:v>16</x:v>
      </x:c>
      <x:c r="I277" s="49" t="n">
        <x:v>-79</x:v>
      </x:c>
      <x:c r="J277" s="49" t="n">
        <x:v>960.75</x:v>
      </x:c>
      <x:c r="K277" s="49" t="n">
        <x:v>16</x:v>
      </x:c>
      <x:c r="L277" s="49" t="n">
        <x:v>5</x:v>
      </x:c>
      <x:c r="M277" s="49" t="n">
        <x:v>0</x:v>
      </x:c>
      <x:c r="N277" s="49" t="n">
        <x:v>6.9114</x:v>
      </x:c>
      <x:c r="O277" s="49" t="n">
        <x:v>30.8577</x:v>
      </x:c>
      <x:c r="P277" s="49" t="n">
        <x:f>IF(OR(N277="",O277=""),"",2*N277*O277/(N277+O277))</x:f>
        <x:v>11.293353973486262</x:v>
      </x:c>
      <x:c r="Q277" s="58" t="str">
        <x:v>이동하면서_오열2_1시간 측정_1.png</x:v>
      </x:c>
      <x:c r="R277" s="58" t="str">
        <x:v>기존 Excel 대응+이미지 보완</x:v>
      </x:c>
      <x:c r="S277" s="59" t="str"/>
    </x:row>
    <x:row r="278" ht="15" hidden="0" customHeight="1">
      <x:c r="A278" s="46" t="str">
        <x:v>MOVE_OPEN2_1H_R1</x:v>
      </x:c>
      <x:c r="B278" s="47" t="str">
        <x:v>이동</x:v>
      </x:c>
      <x:c r="C278" s="47" t="str">
        <x:v>실내 이동 경로</x:v>
      </x:c>
      <x:c r="D278" s="47" t="str">
        <x:v>오픈열람실2 AP</x:v>
      </x:c>
      <x:c r="E278" s="47" t="str">
        <x:v>이동</x:v>
      </x:c>
      <x:c r="F278" s="48" t="n">
        <x:v>60</x:v>
      </x:c>
      <x:c r="G278" s="48" t="n">
        <x:v>1</x:v>
      </x:c>
      <x:c r="H278" s="48" t="n">
        <x:v>17</x:v>
      </x:c>
      <x:c r="I278" s="49" t="n">
        <x:v>-79</x:v>
      </x:c>
      <x:c r="J278" s="49" t="n">
        <x:v>960.75</x:v>
      </x:c>
      <x:c r="K278" s="49" t="n">
        <x:v>35</x:v>
      </x:c>
      <x:c r="L278" s="49" t="n">
        <x:v>5</x:v>
      </x:c>
      <x:c r="M278" s="49" t="n">
        <x:v>0</x:v>
      </x:c>
      <x:c r="N278" s="49" t="n">
        <x:v>5.6398</x:v>
      </x:c>
      <x:c r="O278" s="49" t="n">
        <x:v>34.613</x:v>
      </x:c>
      <x:c r="P278" s="49" t="n">
        <x:f>IF(OR(N278="",O278=""),"",2*N278*O278/(N278+O278))</x:f>
        <x:v>9.699220794578265</x:v>
      </x:c>
      <x:c r="Q278" s="58" t="str">
        <x:v>이동하면서_오열2_1시간 측정_1.png</x:v>
      </x:c>
      <x:c r="R278" s="58" t="str">
        <x:v>기존 Excel 대응+이미지 보완</x:v>
      </x:c>
      <x:c r="S278" s="59" t="str"/>
    </x:row>
    <x:row r="279" ht="15" hidden="0" customHeight="1">
      <x:c r="A279" s="46" t="str">
        <x:v>MOVE_OPEN2_1H_R1</x:v>
      </x:c>
      <x:c r="B279" s="47" t="str">
        <x:v>이동</x:v>
      </x:c>
      <x:c r="C279" s="47" t="str">
        <x:v>실내 이동 경로</x:v>
      </x:c>
      <x:c r="D279" s="47" t="str">
        <x:v>오픈열람실2 AP</x:v>
      </x:c>
      <x:c r="E279" s="47" t="str">
        <x:v>이동</x:v>
      </x:c>
      <x:c r="F279" s="48" t="n">
        <x:v>60</x:v>
      </x:c>
      <x:c r="G279" s="48" t="n">
        <x:v>1</x:v>
      </x:c>
      <x:c r="H279" s="48" t="n">
        <x:v>18</x:v>
      </x:c>
      <x:c r="I279" s="49" t="n">
        <x:v>-79</x:v>
      </x:c>
      <x:c r="J279" s="49" t="n">
        <x:v>816.5</x:v>
      </x:c>
      <x:c r="K279" s="49" t="n">
        <x:v>15</x:v>
      </x:c>
      <x:c r="L279" s="49" t="n">
        <x:v>6</x:v>
      </x:c>
      <x:c r="M279" s="49" t="n">
        <x:v>0</x:v>
      </x:c>
      <x:c r="N279" s="49" t="n">
        <x:v>11.8783</x:v>
      </x:c>
      <x:c r="O279" s="49" t="n">
        <x:v>9.4229</x:v>
      </x:c>
      <x:c r="P279" s="49" t="n">
        <x:f>IF(OR(N279="",O279=""),"",2*N279*O279/(N279+O279))</x:f>
        <x:v>10.509082405686064</x:v>
      </x:c>
      <x:c r="Q279" s="58" t="str">
        <x:v>이동하면서_오열2_1시간 측정_1.png</x:v>
      </x:c>
      <x:c r="R279" s="58" t="str">
        <x:v>기존 Excel 대응+이미지 보완</x:v>
      </x:c>
      <x:c r="S279" s="59" t="str"/>
    </x:row>
    <x:row r="280" ht="15" hidden="0" customHeight="1">
      <x:c r="A280" s="46" t="str">
        <x:v>MOVE_OPEN2_1H_R1</x:v>
      </x:c>
      <x:c r="B280" s="47" t="str">
        <x:v>이동</x:v>
      </x:c>
      <x:c r="C280" s="47" t="str">
        <x:v>실내 이동 경로</x:v>
      </x:c>
      <x:c r="D280" s="47" t="str">
        <x:v>오픈열람실2 AP</x:v>
      </x:c>
      <x:c r="E280" s="47" t="str">
        <x:v>이동</x:v>
      </x:c>
      <x:c r="F280" s="48" t="n">
        <x:v>60</x:v>
      </x:c>
      <x:c r="G280" s="48" t="n">
        <x:v>1</x:v>
      </x:c>
      <x:c r="H280" s="48" t="n">
        <x:v>19</x:v>
      </x:c>
      <x:c r="I280" s="49" t="n">
        <x:v>-47</x:v>
      </x:c>
      <x:c r="J280" s="49" t="n">
        <x:v>1201</x:v>
      </x:c>
      <x:c r="K280" s="49" t="n">
        <x:v>23</x:v>
      </x:c>
      <x:c r="L280" s="49" t="n">
        <x:v>9</x:v>
      </x:c>
      <x:c r="M280" s="49" t="n">
        <x:v>0</x:v>
      </x:c>
      <x:c r="N280" s="49" t="n">
        <x:v>45.6015</x:v>
      </x:c>
      <x:c r="O280" s="49" t="n">
        <x:v>45.6562</x:v>
      </x:c>
      <x:c r="P280" s="49" t="n">
        <x:f>IF(OR(N280="",O280=""),"",2*N280*O280/(N280+O280))</x:f>
        <x:v>45.62883360636965</x:v>
      </x:c>
      <x:c r="Q280" s="58" t="str">
        <x:v>이동하면서_오열2_1시간 측정_1.png</x:v>
      </x:c>
      <x:c r="R280" s="58" t="str">
        <x:v>기존 Excel 대응+이미지 보완</x:v>
      </x:c>
      <x:c r="S280" s="59" t="str"/>
    </x:row>
    <x:row r="281" ht="15" hidden="0" customHeight="1">
      <x:c r="A281" s="46" t="str">
        <x:v>MOVE_OPEN2_1H_R1</x:v>
      </x:c>
      <x:c r="B281" s="47" t="str">
        <x:v>이동</x:v>
      </x:c>
      <x:c r="C281" s="47" t="str">
        <x:v>실내 이동 경로</x:v>
      </x:c>
      <x:c r="D281" s="47" t="str">
        <x:v>오픈열람실2 AP</x:v>
      </x:c>
      <x:c r="E281" s="47" t="str">
        <x:v>이동</x:v>
      </x:c>
      <x:c r="F281" s="48" t="n">
        <x:v>60</x:v>
      </x:c>
      <x:c r="G281" s="48" t="n">
        <x:v>1</x:v>
      </x:c>
      <x:c r="H281" s="48" t="n">
        <x:v>20</x:v>
      </x:c>
      <x:c r="I281" s="49" t="n">
        <x:v>-48</x:v>
      </x:c>
      <x:c r="J281" s="49" t="n">
        <x:v>1201</x:v>
      </x:c>
      <x:c r="K281" s="49" t="n">
        <x:v>15</x:v>
      </x:c>
      <x:c r="L281" s="49" t="n">
        <x:v>6</x:v>
      </x:c>
      <x:c r="M281" s="49" t="n">
        <x:v>0</x:v>
      </x:c>
      <x:c r="N281" s="49" t="n">
        <x:v>13.8514</x:v>
      </x:c>
      <x:c r="O281" s="49" t="n">
        <x:v>61.8657</x:v>
      </x:c>
      <x:c r="P281" s="49" t="n">
        <x:f>IF(OR(N281="",O281=""),"",2*N281*O281/(N281+O281))</x:f>
        <x:v>22.63495450776641</x:v>
      </x:c>
      <x:c r="Q281" s="58" t="str">
        <x:v>이동하면서_오열2_1시간 측정_1.png</x:v>
      </x:c>
      <x:c r="R281" s="58" t="str">
        <x:v>기존 Excel 대응+이미지 보완</x:v>
      </x:c>
      <x:c r="S281" s="59" t="str"/>
    </x:row>
    <x:row r="282" ht="15" hidden="0" customHeight="1">
      <x:c r="A282" s="46" t="str">
        <x:v>MOVE_OPEN2_1H_R1</x:v>
      </x:c>
      <x:c r="B282" s="47" t="str">
        <x:v>이동</x:v>
      </x:c>
      <x:c r="C282" s="47" t="str">
        <x:v>실내 이동 경로</x:v>
      </x:c>
      <x:c r="D282" s="47" t="str">
        <x:v>오픈열람실2 AP</x:v>
      </x:c>
      <x:c r="E282" s="47" t="str">
        <x:v>이동</x:v>
      </x:c>
      <x:c r="F282" s="48" t="n">
        <x:v>60</x:v>
      </x:c>
      <x:c r="G282" s="48" t="n">
        <x:v>1</x:v>
      </x:c>
      <x:c r="H282" s="48" t="n">
        <x:v>21</x:v>
      </x:c>
      <x:c r="I282" s="49" t="n">
        <x:v>-47</x:v>
      </x:c>
      <x:c r="J282" s="49" t="n">
        <x:v>1201</x:v>
      </x:c>
      <x:c r="K282" s="49" t="n">
        <x:v>39</x:v>
      </x:c>
      <x:c r="L282" s="49" t="n">
        <x:v>6</x:v>
      </x:c>
      <x:c r="M282" s="49" t="n">
        <x:v>0</x:v>
      </x:c>
      <x:c r="N282" s="49" t="n">
        <x:v>10.8851</x:v>
      </x:c>
      <x:c r="O282" s="49" t="n">
        <x:v>62.5252</x:v>
      </x:c>
      <x:c r="P282" s="49" t="n">
        <x:f>IF(OR(N282="",O282=""),"",2*N282*O282/(N282+O282))</x:f>
        <x:v>18.542167911587338</x:v>
      </x:c>
      <x:c r="Q282" s="58" t="str">
        <x:v>이동하면서_오열2_1시간 측정_1.png</x:v>
      </x:c>
      <x:c r="R282" s="58" t="str">
        <x:v>기존 Excel 대응+이미지 보완</x:v>
      </x:c>
      <x:c r="S282" s="59" t="str"/>
    </x:row>
    <x:row r="283" ht="15" hidden="0" customHeight="1">
      <x:c r="A283" s="46" t="str">
        <x:v>MOVE_OPEN2_1H_R1</x:v>
      </x:c>
      <x:c r="B283" s="47" t="str">
        <x:v>이동</x:v>
      </x:c>
      <x:c r="C283" s="47" t="str">
        <x:v>실내 이동 경로</x:v>
      </x:c>
      <x:c r="D283" s="47" t="str">
        <x:v>오픈열람실2 AP</x:v>
      </x:c>
      <x:c r="E283" s="47" t="str">
        <x:v>이동</x:v>
      </x:c>
      <x:c r="F283" s="48" t="n">
        <x:v>60</x:v>
      </x:c>
      <x:c r="G283" s="48" t="n">
        <x:v>1</x:v>
      </x:c>
      <x:c r="H283" s="48" t="n">
        <x:v>22</x:v>
      </x:c>
      <x:c r="I283" s="49" t="n">
        <x:v>-47</x:v>
      </x:c>
      <x:c r="J283" s="49" t="n">
        <x:v>1201</x:v>
      </x:c>
      <x:c r="K283" s="49" t="n">
        <x:v>41</x:v>
      </x:c>
      <x:c r="L283" s="49" t="n">
        <x:v>6</x:v>
      </x:c>
      <x:c r="M283" s="49" t="n">
        <x:v>0</x:v>
      </x:c>
      <x:c r="N283" s="49" t="n">
        <x:v>16.7533</x:v>
      </x:c>
      <x:c r="O283" s="49" t="n">
        <x:v>52.9118</x:v>
      </x:c>
      <x:c r="P283" s="49" t="n">
        <x:f>IF(OR(N283="",O283=""),"",2*N283*O283/(N283+O283))</x:f>
        <x:v>25.44881896214891</x:v>
      </x:c>
      <x:c r="Q283" s="58" t="str">
        <x:v>이동하면서_오열2_1시간 측정_1.png</x:v>
      </x:c>
      <x:c r="R283" s="58" t="str">
        <x:v>기존 Excel 대응+이미지 보완</x:v>
      </x:c>
      <x:c r="S283" s="59" t="str"/>
    </x:row>
    <x:row r="284" ht="15" hidden="0" customHeight="1">
      <x:c r="A284" s="46" t="str">
        <x:v>MOVE_OPEN2_1H_R1</x:v>
      </x:c>
      <x:c r="B284" s="47" t="str">
        <x:v>이동</x:v>
      </x:c>
      <x:c r="C284" s="47" t="str">
        <x:v>실내 이동 경로</x:v>
      </x:c>
      <x:c r="D284" s="47" t="str">
        <x:v>오픈열람실2 AP</x:v>
      </x:c>
      <x:c r="E284" s="47" t="str">
        <x:v>이동</x:v>
      </x:c>
      <x:c r="F284" s="48" t="n">
        <x:v>60</x:v>
      </x:c>
      <x:c r="G284" s="48" t="n">
        <x:v>1</x:v>
      </x:c>
      <x:c r="H284" s="48" t="n">
        <x:v>23</x:v>
      </x:c>
      <x:c r="I284" s="49" t="n">
        <x:v>-47</x:v>
      </x:c>
      <x:c r="J284" s="49" t="n">
        <x:v>1201</x:v>
      </x:c>
      <x:c r="K284" s="49" t="n">
        <x:v>36</x:v>
      </x:c>
      <x:c r="L284" s="49" t="n">
        <x:v>12</x:v>
      </x:c>
      <x:c r="M284" s="49" t="n">
        <x:v>0</x:v>
      </x:c>
      <x:c r="N284" s="49" t="n">
        <x:v>16.1171</x:v>
      </x:c>
      <x:c r="O284" s="49" t="n">
        <x:v>61.7883</x:v>
      </x:c>
      <x:c r="P284" s="49" t="n">
        <x:f>IF(OR(N284="",O284=""),"",2*N284*O284/(N284+O284))</x:f>
        <x:v>25.56557594030709</x:v>
      </x:c>
      <x:c r="Q284" s="58" t="str">
        <x:v>이동하면서_오열2_1시간 측정_1.png</x:v>
      </x:c>
      <x:c r="R284" s="58" t="str">
        <x:v>기존 Excel 대응+이미지 보완</x:v>
      </x:c>
      <x:c r="S284" s="59" t="str"/>
    </x:row>
    <x:row r="285" ht="15" hidden="0" customHeight="1">
      <x:c r="A285" s="46" t="str">
        <x:v>MOVE_OPEN2_1H_R1</x:v>
      </x:c>
      <x:c r="B285" s="47" t="str">
        <x:v>이동</x:v>
      </x:c>
      <x:c r="C285" s="47" t="str">
        <x:v>실내 이동 경로</x:v>
      </x:c>
      <x:c r="D285" s="47" t="str">
        <x:v>오픈열람실2 AP</x:v>
      </x:c>
      <x:c r="E285" s="47" t="str">
        <x:v>이동</x:v>
      </x:c>
      <x:c r="F285" s="48" t="n">
        <x:v>60</x:v>
      </x:c>
      <x:c r="G285" s="48" t="n">
        <x:v>1</x:v>
      </x:c>
      <x:c r="H285" s="48" t="n">
        <x:v>24</x:v>
      </x:c>
      <x:c r="I285" s="49" t="n">
        <x:v>-46</x:v>
      </x:c>
      <x:c r="J285" s="49" t="n">
        <x:v>1201</x:v>
      </x:c>
      <x:c r="K285" s="49" t="n">
        <x:v>19</x:v>
      </x:c>
      <x:c r="L285" s="49" t="n">
        <x:v>5</x:v>
      </x:c>
      <x:c r="M285" s="49" t="n">
        <x:v>0</x:v>
      </x:c>
      <x:c r="N285" s="49" t="n">
        <x:v>15.6894</x:v>
      </x:c>
      <x:c r="O285" s="49" t="n">
        <x:v>39.6107</x:v>
      </x:c>
      <x:c r="P285" s="49" t="n">
        <x:f>IF(OR(N285="",O285=""),"",2*N285*O285/(N285+O285))</x:f>
        <x:v>22.476202270158645</x:v>
      </x:c>
      <x:c r="Q285" s="58" t="str">
        <x:v>이동하면서_오열2_1시간 측정_1.png</x:v>
      </x:c>
      <x:c r="R285" s="58" t="str">
        <x:v>기존 Excel 대응+이미지 보완</x:v>
      </x:c>
      <x:c r="S285" s="59" t="str"/>
    </x:row>
    <x:row r="286" ht="15" hidden="0" customHeight="1">
      <x:c r="A286" s="46" t="str">
        <x:v>MOVE_OPEN2_1H_R1</x:v>
      </x:c>
      <x:c r="B286" s="47" t="str">
        <x:v>이동</x:v>
      </x:c>
      <x:c r="C286" s="47" t="str">
        <x:v>실내 이동 경로</x:v>
      </x:c>
      <x:c r="D286" s="47" t="str">
        <x:v>오픈열람실2 AP</x:v>
      </x:c>
      <x:c r="E286" s="47" t="str">
        <x:v>이동</x:v>
      </x:c>
      <x:c r="F286" s="48" t="n">
        <x:v>60</x:v>
      </x:c>
      <x:c r="G286" s="48" t="n">
        <x:v>1</x:v>
      </x:c>
      <x:c r="H286" s="48" t="n">
        <x:v>25</x:v>
      </x:c>
      <x:c r="I286" s="49" t="n">
        <x:v>-47</x:v>
      </x:c>
      <x:c r="J286" s="49" t="n">
        <x:v>1201</x:v>
      </x:c>
      <x:c r="K286" s="49" t="n">
        <x:v>51</x:v>
      </x:c>
      <x:c r="L286" s="49" t="n">
        <x:v>16</x:v>
      </x:c>
      <x:c r="M286" s="49" t="n">
        <x:v>0</x:v>
      </x:c>
      <x:c r="N286" s="49" t="n">
        <x:v>31.9172</x:v>
      </x:c>
      <x:c r="O286" s="49" t="n">
        <x:v>55.0866</x:v>
      </x:c>
      <x:c r="P286" s="49" t="n">
        <x:f>IF(OR(N286="",O286=""),"",2*N286*O286/(N286+O286))</x:f>
        <x:v>40.41685603433413</x:v>
      </x:c>
      <x:c r="Q286" s="58" t="str">
        <x:v>이동하면서_오열2_1시간 측정_1.png</x:v>
      </x:c>
      <x:c r="R286" s="58" t="str">
        <x:v>기존 Excel 대응+이미지 보완</x:v>
      </x:c>
      <x:c r="S286" s="59" t="str"/>
    </x:row>
    <x:row r="287" ht="15" hidden="0" customHeight="1">
      <x:c r="A287" s="46" t="str">
        <x:v>MOVE_OPEN2_1H_R1</x:v>
      </x:c>
      <x:c r="B287" s="47" t="str">
        <x:v>이동</x:v>
      </x:c>
      <x:c r="C287" s="47" t="str">
        <x:v>실내 이동 경로</x:v>
      </x:c>
      <x:c r="D287" s="47" t="str">
        <x:v>오픈열람실2 AP</x:v>
      </x:c>
      <x:c r="E287" s="47" t="str">
        <x:v>이동</x:v>
      </x:c>
      <x:c r="F287" s="48" t="n">
        <x:v>60</x:v>
      </x:c>
      <x:c r="G287" s="48" t="n">
        <x:v>1</x:v>
      </x:c>
      <x:c r="H287" s="48" t="n">
        <x:v>26</x:v>
      </x:c>
      <x:c r="I287" s="49" t="n">
        <x:v>-45</x:v>
      </x:c>
      <x:c r="J287" s="49" t="n">
        <x:v>1201</x:v>
      </x:c>
      <x:c r="K287" s="49" t="n">
        <x:v>9</x:v>
      </x:c>
      <x:c r="L287" s="49" t="n">
        <x:v>5</x:v>
      </x:c>
      <x:c r="M287" s="49" t="n">
        <x:v>0</x:v>
      </x:c>
      <x:c r="N287" s="49" t="n">
        <x:v>8.1346</x:v>
      </x:c>
      <x:c r="O287" s="49" t="n">
        <x:v>51.7302</x:v>
      </x:c>
      <x:c r="P287" s="49" t="n">
        <x:f>IF(OR(N287="",O287=""),"",2*N287*O287/(N287+O287))</x:f>
        <x:v>14.058494638585614</x:v>
      </x:c>
      <x:c r="Q287" s="58" t="str">
        <x:v>이동하면서_오열2_1시간 측정_1.png</x:v>
      </x:c>
      <x:c r="R287" s="58" t="str">
        <x:v>기존 Excel 대응+이미지 보완</x:v>
      </x:c>
      <x:c r="S287" s="59" t="str"/>
    </x:row>
    <x:row r="288" ht="15" hidden="0" customHeight="1">
      <x:c r="A288" s="46" t="str">
        <x:v>MOVE_OPEN2_1H_R1</x:v>
      </x:c>
      <x:c r="B288" s="47" t="str">
        <x:v>이동</x:v>
      </x:c>
      <x:c r="C288" s="47" t="str">
        <x:v>실내 이동 경로</x:v>
      </x:c>
      <x:c r="D288" s="47" t="str">
        <x:v>오픈열람실2 AP</x:v>
      </x:c>
      <x:c r="E288" s="47" t="str">
        <x:v>이동</x:v>
      </x:c>
      <x:c r="F288" s="48" t="n">
        <x:v>60</x:v>
      </x:c>
      <x:c r="G288" s="48" t="n">
        <x:v>1</x:v>
      </x:c>
      <x:c r="H288" s="48" t="n">
        <x:v>27</x:v>
      </x:c>
      <x:c r="I288" s="49" t="n">
        <x:v>-44</x:v>
      </x:c>
      <x:c r="J288" s="49" t="n">
        <x:v>1201</x:v>
      </x:c>
      <x:c r="K288" s="49" t="n">
        <x:v>23</x:v>
      </x:c>
      <x:c r="L288" s="49" t="n">
        <x:v>16</x:v>
      </x:c>
      <x:c r="M288" s="49" t="n">
        <x:v>0</x:v>
      </x:c>
      <x:c r="N288" s="49" t="n">
        <x:v>4.3868</x:v>
      </x:c>
      <x:c r="O288" s="49" t="n">
        <x:v>59.9241</x:v>
      </x:c>
      <x:c r="P288" s="49" t="n">
        <x:f>IF(OR(N288="",O288=""),"",2*N288*O288/(N288+O288))</x:f>
        <x:v>8.175131801296514</x:v>
      </x:c>
      <x:c r="Q288" s="58" t="str">
        <x:v>이동하면서_오열2_1시간 측정_1.png</x:v>
      </x:c>
      <x:c r="R288" s="58" t="str">
        <x:v>기존 Excel 대응+이미지 보완</x:v>
      </x:c>
      <x:c r="S288" s="59" t="str"/>
    </x:row>
    <x:row r="289" ht="15" hidden="0" customHeight="1">
      <x:c r="A289" s="46" t="str">
        <x:v>MOVE_OPEN2_1H_R1</x:v>
      </x:c>
      <x:c r="B289" s="47" t="str">
        <x:v>이동</x:v>
      </x:c>
      <x:c r="C289" s="47" t="str">
        <x:v>실내 이동 경로</x:v>
      </x:c>
      <x:c r="D289" s="47" t="str">
        <x:v>오픈열람실2 AP</x:v>
      </x:c>
      <x:c r="E289" s="47" t="str">
        <x:v>이동</x:v>
      </x:c>
      <x:c r="F289" s="48" t="n">
        <x:v>60</x:v>
      </x:c>
      <x:c r="G289" s="48" t="n">
        <x:v>1</x:v>
      </x:c>
      <x:c r="H289" s="48" t="n">
        <x:v>28</x:v>
      </x:c>
      <x:c r="I289" s="49" t="n">
        <x:v>-47</x:v>
      </x:c>
      <x:c r="J289" s="49" t="n">
        <x:v>1201</x:v>
      </x:c>
      <x:c r="K289" s="49" t="n">
        <x:v>40</x:v>
      </x:c>
      <x:c r="L289" s="49" t="n">
        <x:v>15</x:v>
      </x:c>
      <x:c r="M289" s="49" t="n">
        <x:v>0</x:v>
      </x:c>
      <x:c r="N289" s="49"/>
      <x:c r="O289" s="49" t="n">
        <x:v>33.756</x:v>
      </x:c>
      <x:c r="P289" s="49" t="str">
        <x:f>IF(OR(N289="",O289=""),"",2*N289*O289/(N289+O289))</x:f>
      </x:c>
      <x:c r="Q289" s="58" t="str">
        <x:v>이동하면서_오열2_1시간 측정_1.png</x:v>
      </x:c>
      <x:c r="R289" s="58" t="str">
        <x:v>기존 Excel 대응+이미지 보완</x:v>
      </x:c>
      <x:c r="S289" s="59" t="str">
        <x:v>원본 이미지에서 NaN 확인</x:v>
      </x:c>
    </x:row>
    <x:row r="290" ht="15" hidden="0" customHeight="1">
      <x:c r="A290" s="46" t="str">
        <x:v>MOVE_OPEN2_1H_R2</x:v>
      </x:c>
      <x:c r="B290" s="47" t="str">
        <x:v>이동</x:v>
      </x:c>
      <x:c r="C290" s="47" t="str">
        <x:v>실내 이동 경로</x:v>
      </x:c>
      <x:c r="D290" s="47" t="str">
        <x:v>오픈열람실2 AP</x:v>
      </x:c>
      <x:c r="E290" s="47" t="str">
        <x:v>이동</x:v>
      </x:c>
      <x:c r="F290" s="48" t="n">
        <x:v>60</x:v>
      </x:c>
      <x:c r="G290" s="48" t="n">
        <x:v>2</x:v>
      </x:c>
      <x:c r="H290" s="48" t="n">
        <x:v>1</x:v>
      </x:c>
      <x:c r="I290" s="49" t="n">
        <x:v>-44</x:v>
      </x:c>
      <x:c r="J290" s="49" t="n">
        <x:v>1201</x:v>
      </x:c>
      <x:c r="K290" s="49" t="n">
        <x:v>16</x:v>
      </x:c>
      <x:c r="L290" s="49" t="n">
        <x:v>17</x:v>
      </x:c>
      <x:c r="M290" s="49" t="n">
        <x:v>0</x:v>
      </x:c>
      <x:c r="N290" s="49" t="n">
        <x:v>5.8557</x:v>
      </x:c>
      <x:c r="O290" s="49" t="n">
        <x:v>67.6884</x:v>
      </x:c>
      <x:c r="P290" s="49" t="n">
        <x:f>IF(OR(N290="",O290=""),"",2*N290*O290/(N290+O290))</x:f>
        <x:v>10.778919420592542</x:v>
      </x:c>
      <x:c r="Q290" s="58" t="str">
        <x:v>이동하면서_오열2_1시간 측정_2.png</x:v>
      </x:c>
      <x:c r="R290" s="58" t="str">
        <x:v>기존 Excel 대응+이미지 보완</x:v>
      </x:c>
      <x:c r="S290" s="59" t="str"/>
    </x:row>
    <x:row r="291" ht="15" hidden="0" customHeight="1">
      <x:c r="A291" s="46" t="str">
        <x:v>MOVE_OPEN2_1H_R2</x:v>
      </x:c>
      <x:c r="B291" s="47" t="str">
        <x:v>이동</x:v>
      </x:c>
      <x:c r="C291" s="47" t="str">
        <x:v>실내 이동 경로</x:v>
      </x:c>
      <x:c r="D291" s="47" t="str">
        <x:v>오픈열람실2 AP</x:v>
      </x:c>
      <x:c r="E291" s="47" t="str">
        <x:v>이동</x:v>
      </x:c>
      <x:c r="F291" s="48" t="n">
        <x:v>60</x:v>
      </x:c>
      <x:c r="G291" s="48" t="n">
        <x:v>2</x:v>
      </x:c>
      <x:c r="H291" s="48" t="n">
        <x:v>2</x:v>
      </x:c>
      <x:c r="I291" s="49" t="n">
        <x:v>-73</x:v>
      </x:c>
      <x:c r="J291" s="49" t="n">
        <x:v>816.5</x:v>
      </x:c>
      <x:c r="K291" s="49" t="n">
        <x:v>33</x:v>
      </x:c>
      <x:c r="L291" s="49" t="n">
        <x:v>22</x:v>
      </x:c>
      <x:c r="M291" s="49" t="n">
        <x:v>6.6667</x:v>
      </x:c>
      <x:c r="N291" s="49" t="n">
        <x:v>18.8699</x:v>
      </x:c>
      <x:c r="O291" s="49" t="n">
        <x:v>62.1165</x:v>
      </x:c>
      <x:c r="P291" s="49" t="n">
        <x:f>IF(OR(N291="",O291=""),"",2*N291*O291/(N291+O291))</x:f>
        <x:v>28.94639453908311</x:v>
      </x:c>
      <x:c r="Q291" s="58" t="str">
        <x:v>이동하면서_오열2_1시간 측정_2.png</x:v>
      </x:c>
      <x:c r="R291" s="58" t="str">
        <x:v>기존 Excel 대응+이미지 보완</x:v>
      </x:c>
      <x:c r="S291" s="59" t="str"/>
    </x:row>
    <x:row r="292" ht="15" hidden="0" customHeight="1">
      <x:c r="A292" s="46" t="str">
        <x:v>MOVE_OPEN2_1H_R2</x:v>
      </x:c>
      <x:c r="B292" s="47" t="str">
        <x:v>이동</x:v>
      </x:c>
      <x:c r="C292" s="47" t="str">
        <x:v>실내 이동 경로</x:v>
      </x:c>
      <x:c r="D292" s="47" t="str">
        <x:v>오픈열람실2 AP</x:v>
      </x:c>
      <x:c r="E292" s="47" t="str">
        <x:v>이동</x:v>
      </x:c>
      <x:c r="F292" s="48" t="n">
        <x:v>60</x:v>
      </x:c>
      <x:c r="G292" s="48" t="n">
        <x:v>2</x:v>
      </x:c>
      <x:c r="H292" s="48" t="n">
        <x:v>3</x:v>
      </x:c>
      <x:c r="I292" s="49" t="n">
        <x:v>-67</x:v>
      </x:c>
      <x:c r="J292" s="49" t="n">
        <x:v>924.75</x:v>
      </x:c>
      <x:c r="K292" s="49" t="n">
        <x:v>31</x:v>
      </x:c>
      <x:c r="L292" s="49" t="n">
        <x:v>6</x:v>
      </x:c>
      <x:c r="M292" s="49" t="n">
        <x:v>0</x:v>
      </x:c>
      <x:c r="N292" s="49" t="n">
        <x:v>12.155</x:v>
      </x:c>
      <x:c r="O292" s="49" t="n">
        <x:v>45.1462</x:v>
      </x:c>
      <x:c r="P292" s="49" t="n">
        <x:f>IF(OR(N292="",O292=""),"",2*N292*O292/(N292+O292))</x:f>
        <x:v>19.153248483452355</x:v>
      </x:c>
      <x:c r="Q292" s="58" t="str">
        <x:v>이동하면서_오열2_1시간 측정_2.png</x:v>
      </x:c>
      <x:c r="R292" s="58" t="str">
        <x:v>기존 Excel 대응+이미지 보완</x:v>
      </x:c>
      <x:c r="S292" s="59" t="str"/>
    </x:row>
    <x:row r="293" ht="15" hidden="0" customHeight="1">
      <x:c r="A293" s="46" t="str">
        <x:v>MOVE_OPEN2_1H_R2</x:v>
      </x:c>
      <x:c r="B293" s="47" t="str">
        <x:v>이동</x:v>
      </x:c>
      <x:c r="C293" s="47" t="str">
        <x:v>실내 이동 경로</x:v>
      </x:c>
      <x:c r="D293" s="47" t="str">
        <x:v>오픈열람실2 AP</x:v>
      </x:c>
      <x:c r="E293" s="47" t="str">
        <x:v>이동</x:v>
      </x:c>
      <x:c r="F293" s="48" t="n">
        <x:v>60</x:v>
      </x:c>
      <x:c r="G293" s="48" t="n">
        <x:v>2</x:v>
      </x:c>
      <x:c r="H293" s="48" t="n">
        <x:v>4</x:v>
      </x:c>
      <x:c r="I293" s="49" t="n">
        <x:v>-71</x:v>
      </x:c>
      <x:c r="J293" s="49" t="n">
        <x:v>888.75</x:v>
      </x:c>
      <x:c r="K293" s="49" t="n">
        <x:v>52</x:v>
      </x:c>
      <x:c r="L293" s="49" t="n">
        <x:v>6</x:v>
      </x:c>
      <x:c r="M293" s="49" t="n">
        <x:v>0</x:v>
      </x:c>
      <x:c r="N293" s="49" t="n">
        <x:v>6.7052</x:v>
      </x:c>
      <x:c r="O293" s="49" t="n">
        <x:v>61.1121</x:v>
      </x:c>
      <x:c r="P293" s="49" t="n">
        <x:f>IF(OR(N293="",O293=""),"",2*N293*O293/(N293+O293))</x:f>
        <x:v>12.084493275904524</x:v>
      </x:c>
      <x:c r="Q293" s="58" t="str">
        <x:v>이동하면서_오열2_1시간 측정_2.png</x:v>
      </x:c>
      <x:c r="R293" s="58" t="str">
        <x:v>기존 Excel 대응+이미지 보완</x:v>
      </x:c>
      <x:c r="S293" s="59" t="str"/>
    </x:row>
    <x:row r="294" ht="15" hidden="0" customHeight="1">
      <x:c r="A294" s="46" t="str">
        <x:v>MOVE_OPEN2_1H_R2</x:v>
      </x:c>
      <x:c r="B294" s="47" t="str">
        <x:v>이동</x:v>
      </x:c>
      <x:c r="C294" s="47" t="str">
        <x:v>실내 이동 경로</x:v>
      </x:c>
      <x:c r="D294" s="47" t="str">
        <x:v>오픈열람실2 AP</x:v>
      </x:c>
      <x:c r="E294" s="47" t="str">
        <x:v>이동</x:v>
      </x:c>
      <x:c r="F294" s="48" t="n">
        <x:v>60</x:v>
      </x:c>
      <x:c r="G294" s="48" t="n">
        <x:v>2</x:v>
      </x:c>
      <x:c r="H294" s="48" t="n">
        <x:v>5</x:v>
      </x:c>
      <x:c r="I294" s="49" t="n">
        <x:v>-65</x:v>
      </x:c>
      <x:c r="J294" s="49" t="n">
        <x:v>960.75</x:v>
      </x:c>
      <x:c r="K294" s="49" t="n">
        <x:v>25</x:v>
      </x:c>
      <x:c r="L294" s="49" t="n">
        <x:v>20</x:v>
      </x:c>
      <x:c r="M294" s="49" t="n">
        <x:v>6.6667</x:v>
      </x:c>
      <x:c r="N294" s="49" t="n">
        <x:v>6.8567</x:v>
      </x:c>
      <x:c r="O294" s="49" t="n">
        <x:v>55.7032</x:v>
      </x:c>
      <x:c r="P294" s="49" t="n">
        <x:f>IF(OR(N294="",O294=""),"",2*N294*O294/(N294+O294))</x:f>
        <x:v>12.210381776185704</x:v>
      </x:c>
      <x:c r="Q294" s="58" t="str">
        <x:v>이동하면서_오열2_1시간 측정_2.png</x:v>
      </x:c>
      <x:c r="R294" s="58" t="str">
        <x:v>기존 Excel 대응+이미지 보완</x:v>
      </x:c>
      <x:c r="S294" s="59" t="str"/>
    </x:row>
    <x:row r="295" ht="15" hidden="0" customHeight="1">
      <x:c r="A295" s="46" t="str">
        <x:v>MOVE_OPEN2_1H_R2</x:v>
      </x:c>
      <x:c r="B295" s="47" t="str">
        <x:v>이동</x:v>
      </x:c>
      <x:c r="C295" s="47" t="str">
        <x:v>실내 이동 경로</x:v>
      </x:c>
      <x:c r="D295" s="47" t="str">
        <x:v>오픈열람실2 AP</x:v>
      </x:c>
      <x:c r="E295" s="47" t="str">
        <x:v>이동</x:v>
      </x:c>
      <x:c r="F295" s="48" t="n">
        <x:v>60</x:v>
      </x:c>
      <x:c r="G295" s="48" t="n">
        <x:v>2</x:v>
      </x:c>
      <x:c r="H295" s="48" t="n">
        <x:v>6</x:v>
      </x:c>
      <x:c r="I295" s="49" t="n">
        <x:v>-73</x:v>
      </x:c>
      <x:c r="J295" s="49" t="n">
        <x:v>888.75</x:v>
      </x:c>
      <x:c r="K295" s="49" t="n">
        <x:v>17</x:v>
      </x:c>
      <x:c r="L295" s="49" t="n">
        <x:v>7</x:v>
      </x:c>
      <x:c r="M295" s="49" t="n">
        <x:v>0</x:v>
      </x:c>
      <x:c r="N295" s="49" t="n">
        <x:v>0.4183</x:v>
      </x:c>
      <x:c r="O295" s="49" t="n">
        <x:v>64.6461</x:v>
      </x:c>
      <x:c r="P295" s="49" t="n">
        <x:f>IF(OR(N295="",O295=""),"",2*N295*O295/(N295+O295))</x:f>
        <x:v>0.8312214860968518</x:v>
      </x:c>
      <x:c r="Q295" s="58" t="str">
        <x:v>이동하면서_오열2_1시간 측정_2.png</x:v>
      </x:c>
      <x:c r="R295" s="58" t="str">
        <x:v>기존 Excel 대응+이미지 보완</x:v>
      </x:c>
      <x:c r="S295" s="59" t="str"/>
    </x:row>
    <x:row r="296" ht="15" hidden="0" customHeight="1">
      <x:c r="A296" s="46" t="str">
        <x:v>MOVE_OPEN2_1H_R2</x:v>
      </x:c>
      <x:c r="B296" s="47" t="str">
        <x:v>이동</x:v>
      </x:c>
      <x:c r="C296" s="47" t="str">
        <x:v>실내 이동 경로</x:v>
      </x:c>
      <x:c r="D296" s="47" t="str">
        <x:v>오픈열람실2 AP</x:v>
      </x:c>
      <x:c r="E296" s="47" t="str">
        <x:v>이동</x:v>
      </x:c>
      <x:c r="F296" s="48" t="n">
        <x:v>60</x:v>
      </x:c>
      <x:c r="G296" s="48" t="n">
        <x:v>2</x:v>
      </x:c>
      <x:c r="H296" s="48" t="n">
        <x:v>7</x:v>
      </x:c>
      <x:c r="I296" s="49" t="n">
        <x:v>-72</x:v>
      </x:c>
      <x:c r="J296" s="49" t="n">
        <x:v>888.75</x:v>
      </x:c>
      <x:c r="K296" s="49" t="n">
        <x:v>11</x:v>
      </x:c>
      <x:c r="L296" s="49" t="n">
        <x:v>15</x:v>
      </x:c>
      <x:c r="M296" s="49" t="n">
        <x:v>0</x:v>
      </x:c>
      <x:c r="N296" s="49" t="n">
        <x:v>11.3301</x:v>
      </x:c>
      <x:c r="O296" s="49" t="n">
        <x:v>69.52</x:v>
      </x:c>
      <x:c r="P296" s="49" t="n">
        <x:f>IF(OR(N296="",O296=""),"",2*N296*O296/(N296+O296))</x:f>
        <x:v>19.484664879820805</x:v>
      </x:c>
      <x:c r="Q296" s="58" t="str">
        <x:v>이동하면서_오열2_1시간 측정_2.png</x:v>
      </x:c>
      <x:c r="R296" s="58" t="str">
        <x:v>기존 Excel 대응+이미지 보완</x:v>
      </x:c>
      <x:c r="S296" s="59" t="str"/>
    </x:row>
    <x:row r="297" ht="15" hidden="0" customHeight="1">
      <x:c r="A297" s="46" t="str">
        <x:v>MOVE_OPEN2_1H_R2</x:v>
      </x:c>
      <x:c r="B297" s="47" t="str">
        <x:v>이동</x:v>
      </x:c>
      <x:c r="C297" s="47" t="str">
        <x:v>실내 이동 경로</x:v>
      </x:c>
      <x:c r="D297" s="47" t="str">
        <x:v>오픈열람실2 AP</x:v>
      </x:c>
      <x:c r="E297" s="47" t="str">
        <x:v>이동</x:v>
      </x:c>
      <x:c r="F297" s="48" t="n">
        <x:v>60</x:v>
      </x:c>
      <x:c r="G297" s="48" t="n">
        <x:v>2</x:v>
      </x:c>
      <x:c r="H297" s="48" t="n">
        <x:v>8</x:v>
      </x:c>
      <x:c r="I297" s="49" t="n">
        <x:v>-83</x:v>
      </x:c>
      <x:c r="J297" s="49" t="n">
        <x:v>924.75</x:v>
      </x:c>
      <x:c r="K297" s="49" t="n">
        <x:v>18</x:v>
      </x:c>
      <x:c r="L297" s="49" t="n">
        <x:v>7</x:v>
      </x:c>
      <x:c r="M297" s="49" t="n">
        <x:v>0</x:v>
      </x:c>
      <x:c r="N297" s="49" t="n">
        <x:v>9.6092</x:v>
      </x:c>
      <x:c r="O297" s="49" t="n">
        <x:v>69.4433</x:v>
      </x:c>
      <x:c r="P297" s="49" t="n">
        <x:f>IF(OR(N297="",O297=""),"",2*N297*O297/(N297+O297))</x:f>
        <x:v>16.88231386382467</x:v>
      </x:c>
      <x:c r="Q297" s="58" t="str">
        <x:v>이동하면서_오열2_1시간 측정_2.png</x:v>
      </x:c>
      <x:c r="R297" s="58" t="str">
        <x:v>기존 Excel 대응+이미지 보완</x:v>
      </x:c>
      <x:c r="S297" s="59" t="str"/>
    </x:row>
    <x:row r="298" ht="15" hidden="0" customHeight="1">
      <x:c r="A298" s="46" t="str">
        <x:v>MOVE_OPEN2_1H_R2</x:v>
      </x:c>
      <x:c r="B298" s="47" t="str">
        <x:v>이동</x:v>
      </x:c>
      <x:c r="C298" s="47" t="str">
        <x:v>실내 이동 경로</x:v>
      </x:c>
      <x:c r="D298" s="47" t="str">
        <x:v>오픈열람실2 AP</x:v>
      </x:c>
      <x:c r="E298" s="47" t="str">
        <x:v>이동</x:v>
      </x:c>
      <x:c r="F298" s="48" t="n">
        <x:v>60</x:v>
      </x:c>
      <x:c r="G298" s="48" t="n">
        <x:v>2</x:v>
      </x:c>
      <x:c r="H298" s="48" t="n">
        <x:v>9</x:v>
      </x:c>
      <x:c r="I298" s="49" t="n">
        <x:v>-73</x:v>
      </x:c>
      <x:c r="J298" s="49" t="n">
        <x:v>888.75</x:v>
      </x:c>
      <x:c r="K298" s="49" t="n">
        <x:v>15</x:v>
      </x:c>
      <x:c r="L298" s="49" t="n">
        <x:v>7</x:v>
      </x:c>
      <x:c r="M298" s="49" t="n">
        <x:v>3.3333</x:v>
      </x:c>
      <x:c r="N298" s="49" t="n">
        <x:v>4.8102</x:v>
      </x:c>
      <x:c r="O298" s="49" t="n">
        <x:v>48.8001</x:v>
      </x:c>
      <x:c r="P298" s="49" t="n">
        <x:f>IF(OR(N298="",O298=""),"",2*N298*O298/(N298+O298))</x:f>
        <x:v>8.757206768848523</x:v>
      </x:c>
      <x:c r="Q298" s="58" t="str">
        <x:v>이동하면서_오열2_1시간 측정_2.png</x:v>
      </x:c>
      <x:c r="R298" s="58" t="str">
        <x:v>기존 Excel 대응+이미지 보완</x:v>
      </x:c>
      <x:c r="S298" s="59" t="str"/>
    </x:row>
    <x:row r="299" ht="15" hidden="0" customHeight="1">
      <x:c r="A299" s="46" t="str">
        <x:v>MOVE_OPEN2_1H_R2</x:v>
      </x:c>
      <x:c r="B299" s="47" t="str">
        <x:v>이동</x:v>
      </x:c>
      <x:c r="C299" s="47" t="str">
        <x:v>실내 이동 경로</x:v>
      </x:c>
      <x:c r="D299" s="47" t="str">
        <x:v>오픈열람실2 AP</x:v>
      </x:c>
      <x:c r="E299" s="47" t="str">
        <x:v>이동</x:v>
      </x:c>
      <x:c r="F299" s="48" t="n">
        <x:v>60</x:v>
      </x:c>
      <x:c r="G299" s="48" t="n">
        <x:v>2</x:v>
      </x:c>
      <x:c r="H299" s="48" t="n">
        <x:v>10</x:v>
      </x:c>
      <x:c r="I299" s="49" t="n">
        <x:v>-69</x:v>
      </x:c>
      <x:c r="J299" s="49" t="n">
        <x:v>888.75</x:v>
      </x:c>
      <x:c r="K299" s="49" t="n">
        <x:v>7</x:v>
      </x:c>
      <x:c r="L299" s="49" t="n">
        <x:v>4</x:v>
      </x:c>
      <x:c r="M299" s="49" t="n">
        <x:v>6.6667</x:v>
      </x:c>
      <x:c r="N299" s="49" t="n">
        <x:v>9.6265</x:v>
      </x:c>
      <x:c r="O299" s="49" t="n">
        <x:v>56.0854</x:v>
      </x:c>
      <x:c r="P299" s="49" t="n">
        <x:f>IF(OR(N299="",O299=""),"",2*N299*O299/(N299+O299))</x:f>
        <x:v>16.432521448930864</x:v>
      </x:c>
      <x:c r="Q299" s="58" t="str">
        <x:v>이동하면서_오열2_1시간 측정_2.png</x:v>
      </x:c>
      <x:c r="R299" s="58" t="str">
        <x:v>기존 Excel 대응+이미지 보완</x:v>
      </x:c>
      <x:c r="S299" s="59" t="str"/>
    </x:row>
    <x:row r="300" ht="15" hidden="0" customHeight="1">
      <x:c r="A300" s="46" t="str">
        <x:v>MOVE_OPEN2_1H_R2</x:v>
      </x:c>
      <x:c r="B300" s="47" t="str">
        <x:v>이동</x:v>
      </x:c>
      <x:c r="C300" s="47" t="str">
        <x:v>실내 이동 경로</x:v>
      </x:c>
      <x:c r="D300" s="47" t="str">
        <x:v>오픈열람실2 AP</x:v>
      </x:c>
      <x:c r="E300" s="47" t="str">
        <x:v>이동</x:v>
      </x:c>
      <x:c r="F300" s="48" t="n">
        <x:v>60</x:v>
      </x:c>
      <x:c r="G300" s="48" t="n">
        <x:v>2</x:v>
      </x:c>
      <x:c r="H300" s="48" t="n">
        <x:v>11</x:v>
      </x:c>
      <x:c r="I300" s="49" t="n">
        <x:v>-71</x:v>
      </x:c>
      <x:c r="J300" s="49" t="n">
        <x:v>924.75</x:v>
      </x:c>
      <x:c r="K300" s="49" t="n">
        <x:v>9</x:v>
      </x:c>
      <x:c r="L300" s="49" t="n">
        <x:v>15</x:v>
      </x:c>
      <x:c r="M300" s="49" t="n">
        <x:v>0</x:v>
      </x:c>
      <x:c r="N300" s="49" t="n">
        <x:v>23.6331</x:v>
      </x:c>
      <x:c r="O300" s="49" t="n">
        <x:v>40.3151</x:v>
      </x:c>
      <x:c r="P300" s="49" t="n">
        <x:f>IF(OR(N300="",O300=""),"",2*N300*O300/(N300+O300))</x:f>
        <x:v>29.798205103818404</x:v>
      </x:c>
      <x:c r="Q300" s="58" t="str">
        <x:v>이동하면서_오열2_1시간 측정_2.png</x:v>
      </x:c>
      <x:c r="R300" s="58" t="str">
        <x:v>기존 Excel 대응+이미지 보완</x:v>
      </x:c>
      <x:c r="S300" s="59" t="str"/>
    </x:row>
    <x:row r="301" ht="15" hidden="0" customHeight="1">
      <x:c r="A301" s="46" t="str">
        <x:v>MOVE_OPEN2_1H_R2</x:v>
      </x:c>
      <x:c r="B301" s="47" t="str">
        <x:v>이동</x:v>
      </x:c>
      <x:c r="C301" s="47" t="str">
        <x:v>실내 이동 경로</x:v>
      </x:c>
      <x:c r="D301" s="47" t="str">
        <x:v>오픈열람실2 AP</x:v>
      </x:c>
      <x:c r="E301" s="47" t="str">
        <x:v>이동</x:v>
      </x:c>
      <x:c r="F301" s="48" t="n">
        <x:v>60</x:v>
      </x:c>
      <x:c r="G301" s="48" t="n">
        <x:v>2</x:v>
      </x:c>
      <x:c r="H301" s="48" t="n">
        <x:v>12</x:v>
      </x:c>
      <x:c r="I301" s="49" t="n">
        <x:v>-55</x:v>
      </x:c>
      <x:c r="J301" s="49" t="n">
        <x:v>1201</x:v>
      </x:c>
      <x:c r="K301" s="49" t="n">
        <x:v>7</x:v>
      </x:c>
      <x:c r="L301" s="49" t="n">
        <x:v>9</x:v>
      </x:c>
      <x:c r="M301" s="49" t="n">
        <x:v>0</x:v>
      </x:c>
      <x:c r="N301" s="49" t="n">
        <x:v>28.8846</x:v>
      </x:c>
      <x:c r="O301" s="49" t="n">
        <x:v>124.9588</x:v>
      </x:c>
      <x:c r="P301" s="49" t="n">
        <x:f>IF(OR(N301="",O301=""),"",2*N301*O301/(N301+O301))</x:f>
        <x:v>46.92284432715345</x:v>
      </x:c>
      <x:c r="Q301" s="58" t="str">
        <x:v>이동하면서_오열2_1시간 측정_2.png</x:v>
      </x:c>
      <x:c r="R301" s="58" t="str">
        <x:v>기존 Excel 대응+이미지 보완</x:v>
      </x:c>
      <x:c r="S301" s="59" t="str"/>
    </x:row>
    <x:row r="302" ht="15" hidden="0" customHeight="1">
      <x:c r="A302" s="46" t="str">
        <x:v>MOVE_OPEN2_1H_R2</x:v>
      </x:c>
      <x:c r="B302" s="47" t="str">
        <x:v>이동</x:v>
      </x:c>
      <x:c r="C302" s="47" t="str">
        <x:v>실내 이동 경로</x:v>
      </x:c>
      <x:c r="D302" s="47" t="str">
        <x:v>오픈열람실2 AP</x:v>
      </x:c>
      <x:c r="E302" s="47" t="str">
        <x:v>이동</x:v>
      </x:c>
      <x:c r="F302" s="48" t="n">
        <x:v>60</x:v>
      </x:c>
      <x:c r="G302" s="48" t="n">
        <x:v>2</x:v>
      </x:c>
      <x:c r="H302" s="48" t="n">
        <x:v>13</x:v>
      </x:c>
      <x:c r="I302" s="49" t="n">
        <x:v>-49</x:v>
      </x:c>
      <x:c r="J302" s="49" t="n">
        <x:v>1201</x:v>
      </x:c>
      <x:c r="K302" s="49" t="n">
        <x:v>10</x:v>
      </x:c>
      <x:c r="L302" s="49" t="n">
        <x:v>6</x:v>
      </x:c>
      <x:c r="M302" s="49" t="n">
        <x:v>0</x:v>
      </x:c>
      <x:c r="N302" s="49"/>
      <x:c r="O302" s="49" t="n">
        <x:v>170.1292</x:v>
      </x:c>
      <x:c r="P302" s="49" t="str">
        <x:f>IF(OR(N302="",O302=""),"",2*N302*O302/(N302+O302))</x:f>
      </x:c>
      <x:c r="Q302" s="58" t="str">
        <x:v>이동하면서_오열2_1시간 측정_2.png</x:v>
      </x:c>
      <x:c r="R302" s="58" t="str">
        <x:v>기존 Excel 대응+이미지 보완</x:v>
      </x:c>
      <x:c r="S302" s="59" t="str">
        <x:v>원본 이미지에서 NaN 확인</x:v>
      </x:c>
    </x:row>
    <x:row r="303" ht="15" hidden="0" customHeight="1">
      <x:c r="A303" s="46" t="str">
        <x:v>MOVE_OPEN2_1H_R2</x:v>
      </x:c>
      <x:c r="B303" s="47" t="str">
        <x:v>이동</x:v>
      </x:c>
      <x:c r="C303" s="47" t="str">
        <x:v>실내 이동 경로</x:v>
      </x:c>
      <x:c r="D303" s="47" t="str">
        <x:v>오픈열람실2 AP</x:v>
      </x:c>
      <x:c r="E303" s="47" t="str">
        <x:v>이동</x:v>
      </x:c>
      <x:c r="F303" s="48" t="n">
        <x:v>60</x:v>
      </x:c>
      <x:c r="G303" s="48" t="n">
        <x:v>2</x:v>
      </x:c>
      <x:c r="H303" s="48" t="n">
        <x:v>14</x:v>
      </x:c>
      <x:c r="I303" s="49" t="n">
        <x:v>-50</x:v>
      </x:c>
      <x:c r="J303" s="49" t="n">
        <x:v>1201</x:v>
      </x:c>
      <x:c r="K303" s="49" t="n">
        <x:v>12</x:v>
      </x:c>
      <x:c r="L303" s="49" t="n">
        <x:v>8</x:v>
      </x:c>
      <x:c r="M303" s="49" t="n">
        <x:v>3.3333</x:v>
      </x:c>
      <x:c r="N303" s="49" t="n">
        <x:v>15.7022</x:v>
      </x:c>
      <x:c r="O303" s="49" t="n">
        <x:v>168.1681</x:v>
      </x:c>
      <x:c r="P303" s="49" t="n">
        <x:f>IF(OR(N303="",O303=""),"",2*N303*O303/(N303+O303))</x:f>
        <x:v>28.72251951315683</x:v>
      </x:c>
      <x:c r="Q303" s="58" t="str">
        <x:v>이동하면서_오열2_1시간 측정_2.png</x:v>
      </x:c>
      <x:c r="R303" s="58" t="str">
        <x:v>기존 Excel 대응+이미지 보완</x:v>
      </x:c>
      <x:c r="S303" s="59" t="str"/>
    </x:row>
    <x:row r="304" ht="15" hidden="0" customHeight="1">
      <x:c r="A304" s="46" t="str">
        <x:v>MOVE_OPEN2_1H_R2</x:v>
      </x:c>
      <x:c r="B304" s="47" t="str">
        <x:v>이동</x:v>
      </x:c>
      <x:c r="C304" s="47" t="str">
        <x:v>실내 이동 경로</x:v>
      </x:c>
      <x:c r="D304" s="47" t="str">
        <x:v>오픈열람실2 AP</x:v>
      </x:c>
      <x:c r="E304" s="47" t="str">
        <x:v>이동</x:v>
      </x:c>
      <x:c r="F304" s="48" t="n">
        <x:v>60</x:v>
      </x:c>
      <x:c r="G304" s="48" t="n">
        <x:v>2</x:v>
      </x:c>
      <x:c r="H304" s="48" t="n">
        <x:v>15</x:v>
      </x:c>
      <x:c r="I304" s="49" t="n">
        <x:v>-49</x:v>
      </x:c>
      <x:c r="J304" s="49" t="n">
        <x:v>1201</x:v>
      </x:c>
      <x:c r="K304" s="49" t="n">
        <x:v>8</x:v>
      </x:c>
      <x:c r="L304" s="49" t="n">
        <x:v>4</x:v>
      </x:c>
      <x:c r="M304" s="49" t="n">
        <x:v>0</x:v>
      </x:c>
      <x:c r="N304" s="49" t="n">
        <x:v>26.7813</x:v>
      </x:c>
      <x:c r="O304" s="49" t="n">
        <x:v>164.6582</x:v>
      </x:c>
      <x:c r="P304" s="49" t="n">
        <x:f>IF(OR(N304="",O304=""),"",2*N304*O304/(N304+O304))</x:f>
        <x:v>46.06949612446752</x:v>
      </x:c>
      <x:c r="Q304" s="58" t="str">
        <x:v>이동하면서_오열2_1시간 측정_2.png</x:v>
      </x:c>
      <x:c r="R304" s="58" t="str">
        <x:v>기존 Excel 대응+이미지 보완</x:v>
      </x:c>
      <x:c r="S304" s="59" t="str"/>
    </x:row>
    <x:row r="305" ht="15" hidden="0" customHeight="1">
      <x:c r="A305" s="46" t="str">
        <x:v>MOVE_OPEN2_1H_R2</x:v>
      </x:c>
      <x:c r="B305" s="47" t="str">
        <x:v>이동</x:v>
      </x:c>
      <x:c r="C305" s="47" t="str">
        <x:v>실내 이동 경로</x:v>
      </x:c>
      <x:c r="D305" s="47" t="str">
        <x:v>오픈열람실2 AP</x:v>
      </x:c>
      <x:c r="E305" s="47" t="str">
        <x:v>이동</x:v>
      </x:c>
      <x:c r="F305" s="48" t="n">
        <x:v>60</x:v>
      </x:c>
      <x:c r="G305" s="48" t="n">
        <x:v>2</x:v>
      </x:c>
      <x:c r="H305" s="48" t="n">
        <x:v>16</x:v>
      </x:c>
      <x:c r="I305" s="49" t="n">
        <x:v>-53</x:v>
      </x:c>
      <x:c r="J305" s="49" t="n">
        <x:v>1201</x:v>
      </x:c>
      <x:c r="K305" s="49" t="n">
        <x:v>12</x:v>
      </x:c>
      <x:c r="L305" s="49" t="n">
        <x:v>13</x:v>
      </x:c>
      <x:c r="M305" s="49" t="n">
        <x:v>0</x:v>
      </x:c>
      <x:c r="N305" s="49" t="n">
        <x:v>26.1376</x:v>
      </x:c>
      <x:c r="O305" s="49" t="n">
        <x:v>158.7664</x:v>
      </x:c>
      <x:c r="P305" s="49" t="n">
        <x:f>IF(OR(N305="",O305=""),"",2*N305*O305/(N305+O305))</x:f>
        <x:v>44.885699137282046</x:v>
      </x:c>
      <x:c r="Q305" s="58" t="str">
        <x:v>이동하면서_오열2_1시간 측정_2.png</x:v>
      </x:c>
      <x:c r="R305" s="58" t="str">
        <x:v>기존 Excel 대응+이미지 보완</x:v>
      </x:c>
      <x:c r="S305" s="59" t="str"/>
    </x:row>
    <x:row r="306" ht="15" hidden="0" customHeight="1">
      <x:c r="A306" s="46" t="str">
        <x:v>MOVE_OPEN2_1H_R2</x:v>
      </x:c>
      <x:c r="B306" s="47" t="str">
        <x:v>이동</x:v>
      </x:c>
      <x:c r="C306" s="47" t="str">
        <x:v>실내 이동 경로</x:v>
      </x:c>
      <x:c r="D306" s="47" t="str">
        <x:v>오픈열람실2 AP</x:v>
      </x:c>
      <x:c r="E306" s="47" t="str">
        <x:v>이동</x:v>
      </x:c>
      <x:c r="F306" s="48" t="n">
        <x:v>60</x:v>
      </x:c>
      <x:c r="G306" s="48" t="n">
        <x:v>2</x:v>
      </x:c>
      <x:c r="H306" s="48" t="n">
        <x:v>17</x:v>
      </x:c>
      <x:c r="I306" s="49" t="n">
        <x:v>-51</x:v>
      </x:c>
      <x:c r="J306" s="49" t="n">
        <x:v>1201</x:v>
      </x:c>
      <x:c r="K306" s="49" t="n">
        <x:v>12</x:v>
      </x:c>
      <x:c r="L306" s="49" t="n">
        <x:v>8</x:v>
      </x:c>
      <x:c r="M306" s="49" t="n">
        <x:v>0</x:v>
      </x:c>
      <x:c r="N306" s="49" t="n">
        <x:v>24.3345</x:v>
      </x:c>
      <x:c r="O306" s="49" t="n">
        <x:v>181.1509</x:v>
      </x:c>
      <x:c r="P306" s="49" t="n">
        <x:f>IF(OR(N306="",O306=""),"",2*N306*O306/(N306+O306))</x:f>
        <x:v>42.90539937192618</x:v>
      </x:c>
      <x:c r="Q306" s="58" t="str">
        <x:v>이동하면서_오열2_1시간 측정_2.png</x:v>
      </x:c>
      <x:c r="R306" s="58" t="str">
        <x:v>기존 Excel 대응+이미지 보완</x:v>
      </x:c>
      <x:c r="S306" s="59" t="str"/>
    </x:row>
    <x:row r="307" ht="15" hidden="0" customHeight="1">
      <x:c r="A307" s="46" t="str">
        <x:v>MOVE_OPEN2_1H_R2</x:v>
      </x:c>
      <x:c r="B307" s="47" t="str">
        <x:v>이동</x:v>
      </x:c>
      <x:c r="C307" s="47" t="str">
        <x:v>실내 이동 경로</x:v>
      </x:c>
      <x:c r="D307" s="47" t="str">
        <x:v>오픈열람실2 AP</x:v>
      </x:c>
      <x:c r="E307" s="47" t="str">
        <x:v>이동</x:v>
      </x:c>
      <x:c r="F307" s="48" t="n">
        <x:v>60</x:v>
      </x:c>
      <x:c r="G307" s="48" t="n">
        <x:v>2</x:v>
      </x:c>
      <x:c r="H307" s="48" t="n">
        <x:v>18</x:v>
      </x:c>
      <x:c r="I307" s="49" t="n">
        <x:v>-49</x:v>
      </x:c>
      <x:c r="J307" s="49" t="n">
        <x:v>1201</x:v>
      </x:c>
      <x:c r="K307" s="49" t="n">
        <x:v>12</x:v>
      </x:c>
      <x:c r="L307" s="49" t="n">
        <x:v>5</x:v>
      </x:c>
      <x:c r="M307" s="49" t="n">
        <x:v>0</x:v>
      </x:c>
      <x:c r="N307" s="49" t="n">
        <x:v>13.3548</x:v>
      </x:c>
      <x:c r="O307" s="49" t="n">
        <x:v>135.5461</x:v>
      </x:c>
      <x:c r="P307" s="49" t="n">
        <x:f>IF(OR(N307="",O307=""),"",2*N307*O307/(N307+O307))</x:f>
        <x:v>24.314037810113973</x:v>
      </x:c>
      <x:c r="Q307" s="58" t="str">
        <x:v>이동하면서_오열2_1시간 측정_2.png</x:v>
      </x:c>
      <x:c r="R307" s="58" t="str">
        <x:v>기존 Excel 대응+이미지 보완</x:v>
      </x:c>
      <x:c r="S307" s="59" t="str"/>
    </x:row>
    <x:row r="308" ht="15" hidden="0" customHeight="1">
      <x:c r="A308" s="46" t="str">
        <x:v>MOVE_OPEN2_1H_R2</x:v>
      </x:c>
      <x:c r="B308" s="47" t="str">
        <x:v>이동</x:v>
      </x:c>
      <x:c r="C308" s="47" t="str">
        <x:v>실내 이동 경로</x:v>
      </x:c>
      <x:c r="D308" s="47" t="str">
        <x:v>오픈열람실2 AP</x:v>
      </x:c>
      <x:c r="E308" s="47" t="str">
        <x:v>이동</x:v>
      </x:c>
      <x:c r="F308" s="48" t="n">
        <x:v>60</x:v>
      </x:c>
      <x:c r="G308" s="48" t="n">
        <x:v>2</x:v>
      </x:c>
      <x:c r="H308" s="48" t="n">
        <x:v>19</x:v>
      </x:c>
      <x:c r="I308" s="49" t="n">
        <x:v>-49</x:v>
      </x:c>
      <x:c r="J308" s="49" t="n">
        <x:v>1201</x:v>
      </x:c>
      <x:c r="K308" s="49" t="n">
        <x:v>10</x:v>
      </x:c>
      <x:c r="L308" s="49" t="n">
        <x:v>5</x:v>
      </x:c>
      <x:c r="M308" s="49" t="n">
        <x:v>0</x:v>
      </x:c>
      <x:c r="N308" s="49" t="n">
        <x:v>15.7139</x:v>
      </x:c>
      <x:c r="O308" s="49" t="n">
        <x:v>165.8387</x:v>
      </x:c>
      <x:c r="P308" s="49" t="n">
        <x:f>IF(OR(N308="",O308=""),"",2*N308*O308/(N308+O308))</x:f>
        <x:v>28.707633467435887</x:v>
      </x:c>
      <x:c r="Q308" s="58" t="str">
        <x:v>이동하면서_오열2_1시간 측정_2.png</x:v>
      </x:c>
      <x:c r="R308" s="58" t="str">
        <x:v>기존 Excel 대응+이미지 보완</x:v>
      </x:c>
      <x:c r="S308" s="59" t="str"/>
    </x:row>
    <x:row r="309" ht="15" hidden="0" customHeight="1">
      <x:c r="A309" s="46" t="str">
        <x:v>MOVE_OPEN2_1H_R2</x:v>
      </x:c>
      <x:c r="B309" s="47" t="str">
        <x:v>이동</x:v>
      </x:c>
      <x:c r="C309" s="47" t="str">
        <x:v>실내 이동 경로</x:v>
      </x:c>
      <x:c r="D309" s="47" t="str">
        <x:v>오픈열람실2 AP</x:v>
      </x:c>
      <x:c r="E309" s="47" t="str">
        <x:v>이동</x:v>
      </x:c>
      <x:c r="F309" s="48" t="n">
        <x:v>60</x:v>
      </x:c>
      <x:c r="G309" s="48" t="n">
        <x:v>2</x:v>
      </x:c>
      <x:c r="H309" s="48" t="n">
        <x:v>20</x:v>
      </x:c>
      <x:c r="I309" s="49" t="n">
        <x:v>-50</x:v>
      </x:c>
      <x:c r="J309" s="49" t="n">
        <x:v>1201</x:v>
      </x:c>
      <x:c r="K309" s="49" t="n">
        <x:v>11</x:v>
      </x:c>
      <x:c r="L309" s="49" t="n">
        <x:v>6</x:v>
      </x:c>
      <x:c r="M309" s="49" t="n">
        <x:v>0</x:v>
      </x:c>
      <x:c r="N309" s="49" t="n">
        <x:v>37.0462</x:v>
      </x:c>
      <x:c r="O309" s="49" t="n">
        <x:v>176.3955</x:v>
      </x:c>
      <x:c r="P309" s="49" t="n">
        <x:f>IF(OR(N309="",O309=""),"",2*N309*O309/(N309+O309))</x:f>
        <x:v>61.23248617397631</x:v>
      </x:c>
      <x:c r="Q309" s="58" t="str">
        <x:v>이동하면서_오열2_1시간 측정_2.png</x:v>
      </x:c>
      <x:c r="R309" s="58" t="str">
        <x:v>기존 Excel 대응+이미지 보완</x:v>
      </x:c>
      <x:c r="S309" s="59" t="str"/>
    </x:row>
    <x:row r="310" ht="15" hidden="0" customHeight="1">
      <x:c r="A310" s="46" t="str">
        <x:v>MOVE_OPEN2_1H_R2</x:v>
      </x:c>
      <x:c r="B310" s="47" t="str">
        <x:v>이동</x:v>
      </x:c>
      <x:c r="C310" s="47" t="str">
        <x:v>실내 이동 경로</x:v>
      </x:c>
      <x:c r="D310" s="47" t="str">
        <x:v>오픈열람실2 AP</x:v>
      </x:c>
      <x:c r="E310" s="47" t="str">
        <x:v>이동</x:v>
      </x:c>
      <x:c r="F310" s="48" t="n">
        <x:v>60</x:v>
      </x:c>
      <x:c r="G310" s="48" t="n">
        <x:v>2</x:v>
      </x:c>
      <x:c r="H310" s="48" t="n">
        <x:v>21</x:v>
      </x:c>
      <x:c r="I310" s="49" t="n">
        <x:v>-51</x:v>
      </x:c>
      <x:c r="J310" s="49" t="n">
        <x:v>1201</x:v>
      </x:c>
      <x:c r="K310" s="49" t="n">
        <x:v>17</x:v>
      </x:c>
      <x:c r="L310" s="49" t="n">
        <x:v>4</x:v>
      </x:c>
      <x:c r="M310" s="49" t="n">
        <x:v>0</x:v>
      </x:c>
      <x:c r="N310" s="49" t="n">
        <x:v>19.4769</x:v>
      </x:c>
      <x:c r="O310" s="49" t="n">
        <x:v>185.9013</x:v>
      </x:c>
      <x:c r="P310" s="49" t="n">
        <x:f>IF(OR(N310="",O310=""),"",2*N310*O310/(N310+O310))</x:f>
        <x:v>35.259643233507745</x:v>
      </x:c>
      <x:c r="Q310" s="58" t="str">
        <x:v>이동하면서_오열2_1시간 측정_2.png</x:v>
      </x:c>
      <x:c r="R310" s="58" t="str">
        <x:v>기존 Excel 대응+이미지 보완</x:v>
      </x:c>
      <x:c r="S310" s="59" t="str"/>
    </x:row>
    <x:row r="311" ht="15" hidden="0" customHeight="1">
      <x:c r="A311" s="46" t="str">
        <x:v>MOVE_OPEN2_1H_R2</x:v>
      </x:c>
      <x:c r="B311" s="47" t="str">
        <x:v>이동</x:v>
      </x:c>
      <x:c r="C311" s="47" t="str">
        <x:v>실내 이동 경로</x:v>
      </x:c>
      <x:c r="D311" s="47" t="str">
        <x:v>오픈열람실2 AP</x:v>
      </x:c>
      <x:c r="E311" s="47" t="str">
        <x:v>이동</x:v>
      </x:c>
      <x:c r="F311" s="48" t="n">
        <x:v>60</x:v>
      </x:c>
      <x:c r="G311" s="48" t="n">
        <x:v>2</x:v>
      </x:c>
      <x:c r="H311" s="48" t="n">
        <x:v>22</x:v>
      </x:c>
      <x:c r="I311" s="49" t="n">
        <x:v>-51</x:v>
      </x:c>
      <x:c r="J311" s="49" t="n">
        <x:v>1201</x:v>
      </x:c>
      <x:c r="K311" s="49" t="n">
        <x:v>15</x:v>
      </x:c>
      <x:c r="L311" s="49" t="n">
        <x:v>4</x:v>
      </x:c>
      <x:c r="M311" s="49" t="n">
        <x:v>0</x:v>
      </x:c>
      <x:c r="N311" s="49" t="n">
        <x:v>20.2269</x:v>
      </x:c>
      <x:c r="O311" s="49" t="n">
        <x:v>147.2338</x:v>
      </x:c>
      <x:c r="P311" s="49" t="n">
        <x:f>IF(OR(N311="",O311=""),"",2*N311*O311/(N311+O311))</x:f>
        <x:v>35.56754927239645</x:v>
      </x:c>
      <x:c r="Q311" s="58" t="str">
        <x:v>이동하면서_오열2_1시간 측정_2.png</x:v>
      </x:c>
      <x:c r="R311" s="58" t="str">
        <x:v>기존 Excel 대응+이미지 보완</x:v>
      </x:c>
      <x:c r="S311" s="59" t="str"/>
    </x:row>
    <x:row r="312" ht="15" hidden="0" customHeight="1">
      <x:c r="A312" s="46" t="str">
        <x:v>MOVE_OPEN2_1H_R2</x:v>
      </x:c>
      <x:c r="B312" s="47" t="str">
        <x:v>이동</x:v>
      </x:c>
      <x:c r="C312" s="47" t="str">
        <x:v>실내 이동 경로</x:v>
      </x:c>
      <x:c r="D312" s="47" t="str">
        <x:v>오픈열람실2 AP</x:v>
      </x:c>
      <x:c r="E312" s="47" t="str">
        <x:v>이동</x:v>
      </x:c>
      <x:c r="F312" s="48" t="n">
        <x:v>60</x:v>
      </x:c>
      <x:c r="G312" s="48" t="n">
        <x:v>2</x:v>
      </x:c>
      <x:c r="H312" s="48" t="n">
        <x:v>23</x:v>
      </x:c>
      <x:c r="I312" s="49" t="n">
        <x:v>-49</x:v>
      </x:c>
      <x:c r="J312" s="49" t="n">
        <x:v>1201</x:v>
      </x:c>
      <x:c r="K312" s="49" t="n">
        <x:v>33</x:v>
      </x:c>
      <x:c r="L312" s="49" t="n">
        <x:v>5</x:v>
      </x:c>
      <x:c r="M312" s="49" t="n">
        <x:v>0</x:v>
      </x:c>
      <x:c r="N312" s="49" t="n">
        <x:v>73.3027</x:v>
      </x:c>
      <x:c r="O312" s="49" t="n">
        <x:v>151.9382</x:v>
      </x:c>
      <x:c r="P312" s="49" t="n">
        <x:f>IF(OR(N312="",O312=""),"",2*N312*O312/(N312+O312))</x:f>
        <x:v>98.8939423802693</x:v>
      </x:c>
      <x:c r="Q312" s="58" t="str">
        <x:v>이동하면서_오열2_1시간 측정_2.png</x:v>
      </x:c>
      <x:c r="R312" s="58" t="str">
        <x:v>기존 Excel 대응+이미지 보완</x:v>
      </x:c>
      <x:c r="S312" s="59" t="str"/>
    </x:row>
    <x:row r="313" ht="15" hidden="0" customHeight="1">
      <x:c r="A313" s="46" t="str">
        <x:v>MOVE_OPEN2_1H_R2</x:v>
      </x:c>
      <x:c r="B313" s="47" t="str">
        <x:v>이동</x:v>
      </x:c>
      <x:c r="C313" s="47" t="str">
        <x:v>실내 이동 경로</x:v>
      </x:c>
      <x:c r="D313" s="47" t="str">
        <x:v>오픈열람실2 AP</x:v>
      </x:c>
      <x:c r="E313" s="47" t="str">
        <x:v>이동</x:v>
      </x:c>
      <x:c r="F313" s="48" t="n">
        <x:v>60</x:v>
      </x:c>
      <x:c r="G313" s="48" t="n">
        <x:v>2</x:v>
      </x:c>
      <x:c r="H313" s="48" t="n">
        <x:v>24</x:v>
      </x:c>
      <x:c r="I313" s="49" t="n">
        <x:v>-60</x:v>
      </x:c>
      <x:c r="J313" s="49" t="n">
        <x:v>1201</x:v>
      </x:c>
      <x:c r="K313" s="49" t="n">
        <x:v>22</x:v>
      </x:c>
      <x:c r="L313" s="49" t="n">
        <x:v>22</x:v>
      </x:c>
      <x:c r="M313" s="49" t="n">
        <x:v>0</x:v>
      </x:c>
      <x:c r="N313" s="49" t="n">
        <x:v>12.3227</x:v>
      </x:c>
      <x:c r="O313" s="49" t="n">
        <x:v>96.8098</x:v>
      </x:c>
      <x:c r="P313" s="49" t="n">
        <x:f>IF(OR(N313="",O313=""),"",2*N313*O313/(N313+O313))</x:f>
        <x:v>21.862563809314366</x:v>
      </x:c>
      <x:c r="Q313" s="58" t="str">
        <x:v>이동하면서_오열2_1시간 측정_2.png</x:v>
      </x:c>
      <x:c r="R313" s="58" t="str">
        <x:v>기존 Excel 대응+이미지 보완</x:v>
      </x:c>
      <x:c r="S313" s="59" t="str"/>
    </x:row>
    <x:row r="314" ht="15" hidden="0" customHeight="1">
      <x:c r="A314" s="46" t="str">
        <x:v>MOVE_OPEN2_1H_R2</x:v>
      </x:c>
      <x:c r="B314" s="47" t="str">
        <x:v>이동</x:v>
      </x:c>
      <x:c r="C314" s="47" t="str">
        <x:v>실내 이동 경로</x:v>
      </x:c>
      <x:c r="D314" s="47" t="str">
        <x:v>오픈열람실2 AP</x:v>
      </x:c>
      <x:c r="E314" s="47" t="str">
        <x:v>이동</x:v>
      </x:c>
      <x:c r="F314" s="48" t="n">
        <x:v>60</x:v>
      </x:c>
      <x:c r="G314" s="48" t="n">
        <x:v>2</x:v>
      </x:c>
      <x:c r="H314" s="48" t="n">
        <x:v>25</x:v>
      </x:c>
      <x:c r="I314" s="49" t="n">
        <x:v>-70</x:v>
      </x:c>
      <x:c r="J314" s="49" t="n">
        <x:v>960.75</x:v>
      </x:c>
      <x:c r="K314" s="49" t="n">
        <x:v>35</x:v>
      </x:c>
      <x:c r="L314" s="49" t="n">
        <x:v>6</x:v>
      </x:c>
      <x:c r="M314" s="49" t="n">
        <x:v>0</x:v>
      </x:c>
      <x:c r="N314" s="49" t="n">
        <x:v>9.6394</x:v>
      </x:c>
      <x:c r="O314" s="49" t="n">
        <x:v>73.1843</x:v>
      </x:c>
      <x:c r="P314" s="49" t="n">
        <x:f>IF(OR(N314="",O314=""),"",2*N314*O314/(N314+O314))</x:f>
        <x:v>17.035045317222004</x:v>
      </x:c>
      <x:c r="Q314" s="58" t="str">
        <x:v>이동하면서_오열2_1시간 측정_2.png</x:v>
      </x:c>
      <x:c r="R314" s="58" t="str">
        <x:v>기존 Excel 대응+이미지 보완</x:v>
      </x:c>
      <x:c r="S314" s="59" t="str"/>
    </x:row>
    <x:row r="315" ht="15" hidden="0" customHeight="1">
      <x:c r="A315" s="46" t="str">
        <x:v>MOVE_OPEN2_1H_R2</x:v>
      </x:c>
      <x:c r="B315" s="47" t="str">
        <x:v>이동</x:v>
      </x:c>
      <x:c r="C315" s="47" t="str">
        <x:v>실내 이동 경로</x:v>
      </x:c>
      <x:c r="D315" s="47" t="str">
        <x:v>오픈열람실2 AP</x:v>
      </x:c>
      <x:c r="E315" s="47" t="str">
        <x:v>이동</x:v>
      </x:c>
      <x:c r="F315" s="48" t="n">
        <x:v>60</x:v>
      </x:c>
      <x:c r="G315" s="48" t="n">
        <x:v>2</x:v>
      </x:c>
      <x:c r="H315" s="48" t="n">
        <x:v>26</x:v>
      </x:c>
      <x:c r="I315" s="49" t="n">
        <x:v>-65</x:v>
      </x:c>
      <x:c r="J315" s="49" t="n">
        <x:v>924.75</x:v>
      </x:c>
      <x:c r="K315" s="49" t="n">
        <x:v>12</x:v>
      </x:c>
      <x:c r="L315" s="49" t="n">
        <x:v>5</x:v>
      </x:c>
      <x:c r="M315" s="49" t="n">
        <x:v>0</x:v>
      </x:c>
      <x:c r="N315" s="49" t="n">
        <x:v>20.488</x:v>
      </x:c>
      <x:c r="O315" s="49" t="n">
        <x:v>94.3496</x:v>
      </x:c>
      <x:c r="P315" s="49" t="n">
        <x:f>IF(OR(N315="",O315=""),"",2*N315*O315/(N315+O315))</x:f>
        <x:v>33.66553471685232</x:v>
      </x:c>
      <x:c r="Q315" s="58" t="str">
        <x:v>이동하면서_오열2_1시간 측정_2.png</x:v>
      </x:c>
      <x:c r="R315" s="58" t="str">
        <x:v>기존 Excel 대응+이미지 보완</x:v>
      </x:c>
      <x:c r="S315" s="59" t="str"/>
    </x:row>
    <x:row r="316" ht="15" hidden="0" customHeight="1">
      <x:c r="A316" s="46" t="str">
        <x:v>MOVE_OPEN2_1H_R2</x:v>
      </x:c>
      <x:c r="B316" s="47" t="str">
        <x:v>이동</x:v>
      </x:c>
      <x:c r="C316" s="47" t="str">
        <x:v>실내 이동 경로</x:v>
      </x:c>
      <x:c r="D316" s="47" t="str">
        <x:v>오픈열람실2 AP</x:v>
      </x:c>
      <x:c r="E316" s="47" t="str">
        <x:v>이동</x:v>
      </x:c>
      <x:c r="F316" s="48" t="n">
        <x:v>60</x:v>
      </x:c>
      <x:c r="G316" s="48" t="n">
        <x:v>2</x:v>
      </x:c>
      <x:c r="H316" s="48" t="n">
        <x:v>27</x:v>
      </x:c>
      <x:c r="I316" s="49" t="n">
        <x:v>-71</x:v>
      </x:c>
      <x:c r="J316" s="49" t="n">
        <x:v>816.5</x:v>
      </x:c>
      <x:c r="K316" s="49" t="n">
        <x:v>15</x:v>
      </x:c>
      <x:c r="L316" s="49" t="n">
        <x:v>8</x:v>
      </x:c>
      <x:c r="M316" s="49" t="n">
        <x:v>0</x:v>
      </x:c>
      <x:c r="N316" s="49" t="n">
        <x:v>15.2749</x:v>
      </x:c>
      <x:c r="O316" s="49" t="n">
        <x:v>105.1155</x:v>
      </x:c>
      <x:c r="P316" s="49" t="n">
        <x:f>IF(OR(N316="",O316=""),"",2*N316*O316/(N316+O316))</x:f>
        <x:v>26.673700742750253</x:v>
      </x:c>
      <x:c r="Q316" s="58" t="str">
        <x:v>이동하면서_오열2_1시간 측정_2.png</x:v>
      </x:c>
      <x:c r="R316" s="58" t="str">
        <x:v>기존 Excel 대응+이미지 보완</x:v>
      </x:c>
      <x:c r="S316" s="59" t="str"/>
    </x:row>
    <x:row r="317" ht="15" hidden="0" customHeight="1">
      <x:c r="A317" s="46" t="str">
        <x:v>MOVE_OPEN2_1H_R2</x:v>
      </x:c>
      <x:c r="B317" s="47" t="str">
        <x:v>이동</x:v>
      </x:c>
      <x:c r="C317" s="47" t="str">
        <x:v>실내 이동 경로</x:v>
      </x:c>
      <x:c r="D317" s="47" t="str">
        <x:v>오픈열람실2 AP</x:v>
      </x:c>
      <x:c r="E317" s="47" t="str">
        <x:v>이동</x:v>
      </x:c>
      <x:c r="F317" s="48" t="n">
        <x:v>60</x:v>
      </x:c>
      <x:c r="G317" s="48" t="n">
        <x:v>2</x:v>
      </x:c>
      <x:c r="H317" s="48" t="n">
        <x:v>28</x:v>
      </x:c>
      <x:c r="I317" s="49" t="n">
        <x:v>-70</x:v>
      </x:c>
      <x:c r="J317" s="49" t="n">
        <x:v>888.75</x:v>
      </x:c>
      <x:c r="K317" s="49" t="n">
        <x:v>12</x:v>
      </x:c>
      <x:c r="L317" s="49" t="n">
        <x:v>5</x:v>
      </x:c>
      <x:c r="M317" s="49" t="n">
        <x:v>0</x:v>
      </x:c>
      <x:c r="N317" s="49" t="n">
        <x:v>23.9302</x:v>
      </x:c>
      <x:c r="O317" s="49" t="n">
        <x:v>80.7673</x:v>
      </x:c>
      <x:c r="P317" s="49" t="n">
        <x:f>IF(OR(N317="",O317=""),"",2*N317*O317/(N317+O317))</x:f>
        <x:v>36.921180399914036</x:v>
      </x:c>
      <x:c r="Q317" s="58" t="str">
        <x:v>이동하면서_오열2_1시간 측정_2.png</x:v>
      </x:c>
      <x:c r="R317" s="58" t="str">
        <x:v>기존 Excel 대응+이미지 보완</x:v>
      </x:c>
      <x:c r="S317" s="59" t="str"/>
    </x:row>
    <x:row r="318" ht="15" hidden="0" customHeight="1">
      <x:c r="A318" s="46" t="str">
        <x:v>MOVE_OPEN2_1H_R2</x:v>
      </x:c>
      <x:c r="B318" s="47" t="str">
        <x:v>이동</x:v>
      </x:c>
      <x:c r="C318" s="47" t="str">
        <x:v>실내 이동 경로</x:v>
      </x:c>
      <x:c r="D318" s="47" t="str">
        <x:v>오픈열람실2 AP</x:v>
      </x:c>
      <x:c r="E318" s="47" t="str">
        <x:v>이동</x:v>
      </x:c>
      <x:c r="F318" s="48" t="n">
        <x:v>60</x:v>
      </x:c>
      <x:c r="G318" s="48" t="n">
        <x:v>2</x:v>
      </x:c>
      <x:c r="H318" s="48" t="n">
        <x:v>29</x:v>
      </x:c>
      <x:c r="I318" s="49" t="n">
        <x:v>-70</x:v>
      </x:c>
      <x:c r="J318" s="49" t="n">
        <x:v>888.75</x:v>
      </x:c>
      <x:c r="K318" s="49" t="n">
        <x:v>12</x:v>
      </x:c>
      <x:c r="L318" s="49" t="n">
        <x:v>7</x:v>
      </x:c>
      <x:c r="M318" s="49" t="n">
        <x:v>0</x:v>
      </x:c>
      <x:c r="N318" s="49" t="n">
        <x:v>0.4183</x:v>
      </x:c>
      <x:c r="O318" s="49" t="n">
        <x:v>21.1284</x:v>
      </x:c>
      <x:c r="P318" s="49" t="n">
        <x:f>IF(OR(N318="",O318=""),"",2*N318*O318/(N318+O318))</x:f>
        <x:v>0.8203585439997774</x:v>
      </x:c>
      <x:c r="Q318" s="58" t="str">
        <x:v>이동하면서_오열2_1시간 측정_2.png</x:v>
      </x:c>
      <x:c r="R318" s="58" t="str">
        <x:v>기존 Excel 대응+이미지 보완</x:v>
      </x:c>
      <x:c r="S318" s="59" t="str"/>
    </x:row>
    <x:row r="319" ht="15" hidden="0" customHeight="1">
      <x:c r="A319" s="46" t="str">
        <x:v>MOVE_OPEN2_1H_R2</x:v>
      </x:c>
      <x:c r="B319" s="47" t="str">
        <x:v>이동</x:v>
      </x:c>
      <x:c r="C319" s="47" t="str">
        <x:v>실내 이동 경로</x:v>
      </x:c>
      <x:c r="D319" s="47" t="str">
        <x:v>오픈열람실2 AP</x:v>
      </x:c>
      <x:c r="E319" s="47" t="str">
        <x:v>이동</x:v>
      </x:c>
      <x:c r="F319" s="48" t="n">
        <x:v>60</x:v>
      </x:c>
      <x:c r="G319" s="48" t="n">
        <x:v>2</x:v>
      </x:c>
      <x:c r="H319" s="48" t="n">
        <x:v>30</x:v>
      </x:c>
      <x:c r="I319" s="49" t="n">
        <x:v>-68</x:v>
      </x:c>
      <x:c r="J319" s="49" t="n">
        <x:v>924.75</x:v>
      </x:c>
      <x:c r="K319" s="49" t="n">
        <x:v>61</x:v>
      </x:c>
      <x:c r="L319" s="49" t="n">
        <x:v>131</x:v>
      </x:c>
      <x:c r="M319" s="49" t="n">
        <x:v>0</x:v>
      </x:c>
      <x:c r="N319" s="49" t="n">
        <x:v>0.418</x:v>
      </x:c>
      <x:c r="O319" s="49" t="n">
        <x:v>0.6264</x:v>
      </x:c>
      <x:c r="P319" s="49" t="n">
        <x:f>IF(OR(N319="",O319=""),"",2*N319*O319/(N319+O319))</x:f>
        <x:v>0.5014078896974339</x:v>
      </x:c>
      <x:c r="Q319" s="58" t="str">
        <x:v>이동하면서_오열2_1시간 측정_2.png</x:v>
      </x:c>
      <x:c r="R319" s="58" t="str">
        <x:v>기존 Excel 대응+이미지 보완</x:v>
      </x:c>
      <x:c r="S319" s="59" t="str"/>
    </x:row>
    <x:row r="320" ht="15" hidden="0" customHeight="1">
      <x:c r="A320" s="46" t="str">
        <x:v>MOVE_OPEN2_1H_R2</x:v>
      </x:c>
      <x:c r="B320" s="47" t="str">
        <x:v>이동</x:v>
      </x:c>
      <x:c r="C320" s="47" t="str">
        <x:v>실내 이동 경로</x:v>
      </x:c>
      <x:c r="D320" s="47" t="str">
        <x:v>오픈열람실2 AP</x:v>
      </x:c>
      <x:c r="E320" s="47" t="str">
        <x:v>이동</x:v>
      </x:c>
      <x:c r="F320" s="48" t="n">
        <x:v>60</x:v>
      </x:c>
      <x:c r="G320" s="48" t="n">
        <x:v>2</x:v>
      </x:c>
      <x:c r="H320" s="48" t="n">
        <x:v>31</x:v>
      </x:c>
      <x:c r="I320" s="49" t="n">
        <x:v>-75</x:v>
      </x:c>
      <x:c r="J320" s="49" t="n">
        <x:v>888.75</x:v>
      </x:c>
      <x:c r="K320" s="49" t="n">
        <x:v>10</x:v>
      </x:c>
      <x:c r="L320" s="49" t="n">
        <x:v>12</x:v>
      </x:c>
      <x:c r="M320" s="49" t="n">
        <x:v>0</x:v>
      </x:c>
      <x:c r="N320" s="49"/>
      <x:c r="O320" s="49" t="n">
        <x:v>62.3734</x:v>
      </x:c>
      <x:c r="P320" s="49" t="str">
        <x:f>IF(OR(N320="",O320=""),"",2*N320*O320/(N320+O320))</x:f>
      </x:c>
      <x:c r="Q320" s="58" t="str">
        <x:v>이동하면서_오열2_1시간 측정_2.png</x:v>
      </x:c>
      <x:c r="R320" s="58" t="str">
        <x:v>기존 Excel 대응+이미지 보완</x:v>
      </x:c>
      <x:c r="S320" s="59" t="str">
        <x:v>원본 이미지에서 NaN 확인</x:v>
      </x:c>
    </x:row>
    <x:row r="321" ht="15" hidden="0" customHeight="1">
      <x:c r="A321" s="46" t="str">
        <x:v>CONGESTED_OPEN2_R1</x:v>
      </x:c>
      <x:c r="B321" s="47" t="str">
        <x:v>혼잡 유도</x:v>
      </x:c>
      <x:c r="C321" s="47" t="str">
        <x:v>오픈열람실</x:v>
      </x:c>
      <x:c r="D321" s="47" t="str">
        <x:v>오픈열람실2 AP</x:v>
      </x:c>
      <x:c r="E321" s="47" t="str">
        <x:v>고정</x:v>
      </x:c>
      <x:c r="F321" s="48"/>
      <x:c r="G321" s="48" t="n">
        <x:v>1</x:v>
      </x:c>
      <x:c r="H321" s="48" t="n">
        <x:v>1</x:v>
      </x:c>
      <x:c r="I321" s="49" t="n">
        <x:v>-51</x:v>
      </x:c>
      <x:c r="J321" s="49" t="n">
        <x:v>1201</x:v>
      </x:c>
      <x:c r="K321" s="49" t="n">
        <x:v>50</x:v>
      </x:c>
      <x:c r="L321" s="49" t="n">
        <x:v>7</x:v>
      </x:c>
      <x:c r="M321" s="49" t="n">
        <x:v>0</x:v>
      </x:c>
      <x:c r="N321" s="49" t="n">
        <x:v>33.2445</x:v>
      </x:c>
      <x:c r="O321" s="49" t="n">
        <x:v>64.7117</x:v>
      </x:c>
      <x:c r="P321" s="49" t="n">
        <x:f>IF(OR(N321="",O321=""),"",2*N321*O321/(N321+O321))</x:f>
        <x:v>43.92387844056834</x:v>
      </x:c>
      <x:c r="Q321" s="58" t="str">
        <x:v>오픈열람실에서_오픈열람실2_터트리기_1.jpg; 오픈열람실에서_오픈열람실2_터트리기_2.jpg</x:v>
      </x:c>
      <x:c r="R321" s="58" t="str">
        <x:v>기존 Excel 대응</x:v>
      </x:c>
      <x:c r="S321" s="59" t="str"/>
    </x:row>
    <x:row r="322" ht="15" hidden="0" customHeight="1">
      <x:c r="A322" s="46" t="str">
        <x:v>CONGESTED_OPEN2_R1</x:v>
      </x:c>
      <x:c r="B322" s="47" t="str">
        <x:v>혼잡 유도</x:v>
      </x:c>
      <x:c r="C322" s="47" t="str">
        <x:v>오픈열람실</x:v>
      </x:c>
      <x:c r="D322" s="47" t="str">
        <x:v>오픈열람실2 AP</x:v>
      </x:c>
      <x:c r="E322" s="47" t="str">
        <x:v>고정</x:v>
      </x:c>
      <x:c r="F322" s="48"/>
      <x:c r="G322" s="48" t="n">
        <x:v>1</x:v>
      </x:c>
      <x:c r="H322" s="48" t="n">
        <x:v>2</x:v>
      </x:c>
      <x:c r="I322" s="49" t="n">
        <x:v>-53</x:v>
      </x:c>
      <x:c r="J322" s="49" t="n">
        <x:v>1201</x:v>
      </x:c>
      <x:c r="K322" s="49" t="n">
        <x:v>47</x:v>
      </x:c>
      <x:c r="L322" s="49" t="n">
        <x:v>9</x:v>
      </x:c>
      <x:c r="M322" s="49" t="n">
        <x:v>0</x:v>
      </x:c>
      <x:c r="N322" s="49" t="n">
        <x:v>103.9524</x:v>
      </x:c>
      <x:c r="O322" s="49" t="n">
        <x:v>70.7138</x:v>
      </x:c>
      <x:c r="P322" s="49" t="n">
        <x:f>IF(OR(N322="",O322=""),"",2*N322*O322/(N322+O322))</x:f>
        <x:v>84.17048316297029</x:v>
      </x:c>
      <x:c r="Q322" s="58" t="str">
        <x:v>오픈열람실에서_오픈열람실2_터트리기_1.jpg; 오픈열람실에서_오픈열람실2_터트리기_2.jpg</x:v>
      </x:c>
      <x:c r="R322" s="58" t="str">
        <x:v>기존 Excel 대응</x:v>
      </x:c>
      <x:c r="S322" s="59" t="str"/>
    </x:row>
    <x:row r="323" ht="15" hidden="0" customHeight="1">
      <x:c r="A323" s="46" t="str">
        <x:v>CONGESTED_OPEN2_R1</x:v>
      </x:c>
      <x:c r="B323" s="47" t="str">
        <x:v>혼잡 유도</x:v>
      </x:c>
      <x:c r="C323" s="47" t="str">
        <x:v>오픈열람실</x:v>
      </x:c>
      <x:c r="D323" s="47" t="str">
        <x:v>오픈열람실2 AP</x:v>
      </x:c>
      <x:c r="E323" s="47" t="str">
        <x:v>고정</x:v>
      </x:c>
      <x:c r="F323" s="48"/>
      <x:c r="G323" s="48" t="n">
        <x:v>1</x:v>
      </x:c>
      <x:c r="H323" s="48" t="n">
        <x:v>3</x:v>
      </x:c>
      <x:c r="I323" s="49" t="n">
        <x:v>-52</x:v>
      </x:c>
      <x:c r="J323" s="49" t="n">
        <x:v>1201</x:v>
      </x:c>
      <x:c r="K323" s="49" t="n">
        <x:v>32</x:v>
      </x:c>
      <x:c r="L323" s="49" t="n">
        <x:v>7</x:v>
      </x:c>
      <x:c r="M323" s="49" t="n">
        <x:v>0</x:v>
      </x:c>
      <x:c r="N323" s="49" t="n">
        <x:v>79.3099</x:v>
      </x:c>
      <x:c r="O323" s="49" t="n">
        <x:v>60.8244</x:v>
      </x:c>
      <x:c r="P323" s="49" t="n">
        <x:f>IF(OR(N323="",O323=""),"",2*N323*O323/(N323+O323))</x:f>
        <x:v>68.84791348813245</x:v>
      </x:c>
      <x:c r="Q323" s="58" t="str">
        <x:v>오픈열람실에서_오픈열람실2_터트리기_1.jpg; 오픈열람실에서_오픈열람실2_터트리기_2.jpg</x:v>
      </x:c>
      <x:c r="R323" s="58" t="str">
        <x:v>기존 Excel 대응</x:v>
      </x:c>
      <x:c r="S323" s="59" t="str"/>
    </x:row>
    <x:row r="324" ht="15" hidden="0" customHeight="1">
      <x:c r="A324" s="46" t="str">
        <x:v>CONGESTED_OPEN2_R1</x:v>
      </x:c>
      <x:c r="B324" s="47" t="str">
        <x:v>혼잡 유도</x:v>
      </x:c>
      <x:c r="C324" s="47" t="str">
        <x:v>오픈열람실</x:v>
      </x:c>
      <x:c r="D324" s="47" t="str">
        <x:v>오픈열람실2 AP</x:v>
      </x:c>
      <x:c r="E324" s="47" t="str">
        <x:v>고정</x:v>
      </x:c>
      <x:c r="F324" s="48"/>
      <x:c r="G324" s="48" t="n">
        <x:v>1</x:v>
      </x:c>
      <x:c r="H324" s="48" t="n">
        <x:v>4</x:v>
      </x:c>
      <x:c r="I324" s="49" t="n">
        <x:v>-47</x:v>
      </x:c>
      <x:c r="J324" s="49" t="n">
        <x:v>1201</x:v>
      </x:c>
      <x:c r="K324" s="49" t="n">
        <x:v>58</x:v>
      </x:c>
      <x:c r="L324" s="49" t="n">
        <x:v>13</x:v>
      </x:c>
      <x:c r="M324" s="49" t="n">
        <x:v>0</x:v>
      </x:c>
      <x:c r="N324" s="49" t="n">
        <x:v>95.6088</x:v>
      </x:c>
      <x:c r="O324" s="49" t="n">
        <x:v>29.7174</x:v>
      </x:c>
      <x:c r="P324" s="49" t="n">
        <x:f>IF(OR(N324="",O324=""),"",2*N324*O324/(N324+O324))</x:f>
        <x:v>45.34159582146431</x:v>
      </x:c>
      <x:c r="Q324" s="58" t="str">
        <x:v>오픈열람실에서_오픈열람실2_터트리기_1.jpg; 오픈열람실에서_오픈열람실2_터트리기_2.jpg</x:v>
      </x:c>
      <x:c r="R324" s="58" t="str">
        <x:v>기존 Excel 대응</x:v>
      </x:c>
      <x:c r="S324" s="59" t="str"/>
    </x:row>
    <x:row r="325" ht="15" hidden="0" customHeight="1">
      <x:c r="A325" s="46" t="str">
        <x:v>CONGESTED_OPEN2_R1</x:v>
      </x:c>
      <x:c r="B325" s="47" t="str">
        <x:v>혼잡 유도</x:v>
      </x:c>
      <x:c r="C325" s="47" t="str">
        <x:v>오픈열람실</x:v>
      </x:c>
      <x:c r="D325" s="47" t="str">
        <x:v>오픈열람실2 AP</x:v>
      </x:c>
      <x:c r="E325" s="47" t="str">
        <x:v>고정</x:v>
      </x:c>
      <x:c r="F325" s="48"/>
      <x:c r="G325" s="48" t="n">
        <x:v>1</x:v>
      </x:c>
      <x:c r="H325" s="48" t="n">
        <x:v>5</x:v>
      </x:c>
      <x:c r="I325" s="49" t="n">
        <x:v>-51</x:v>
      </x:c>
      <x:c r="J325" s="49" t="n">
        <x:v>1201</x:v>
      </x:c>
      <x:c r="K325" s="49" t="n">
        <x:v>72</x:v>
      </x:c>
      <x:c r="L325" s="49" t="n">
        <x:v>10</x:v>
      </x:c>
      <x:c r="M325" s="49" t="n">
        <x:v>0</x:v>
      </x:c>
      <x:c r="N325" s="49" t="n">
        <x:v>69.254</x:v>
      </x:c>
      <x:c r="O325" s="49" t="n">
        <x:v>68.2485</x:v>
      </x:c>
      <x:c r="P325" s="49" t="n">
        <x:f>IF(OR(N325="",O325=""),"",2*N325*O325/(N325+O325))</x:f>
        <x:v>68.7475735932074</x:v>
      </x:c>
      <x:c r="Q325" s="58" t="str">
        <x:v>오픈열람실에서_오픈열람실2_터트리기_1.jpg; 오픈열람실에서_오픈열람실2_터트리기_2.jpg</x:v>
      </x:c>
      <x:c r="R325" s="58" t="str">
        <x:v>기존 Excel 대응</x:v>
      </x:c>
      <x:c r="S325" s="59" t="str"/>
    </x:row>
    <x:row r="326" ht="15" hidden="0" customHeight="1">
      <x:c r="A326" s="46" t="str">
        <x:v>CONGESTED_OPEN2_R1</x:v>
      </x:c>
      <x:c r="B326" s="47" t="str">
        <x:v>혼잡 유도</x:v>
      </x:c>
      <x:c r="C326" s="47" t="str">
        <x:v>오픈열람실</x:v>
      </x:c>
      <x:c r="D326" s="47" t="str">
        <x:v>오픈열람실2 AP</x:v>
      </x:c>
      <x:c r="E326" s="47" t="str">
        <x:v>고정</x:v>
      </x:c>
      <x:c r="F326" s="48"/>
      <x:c r="G326" s="48" t="n">
        <x:v>1</x:v>
      </x:c>
      <x:c r="H326" s="48" t="n">
        <x:v>6</x:v>
      </x:c>
      <x:c r="I326" s="49" t="n">
        <x:v>-50</x:v>
      </x:c>
      <x:c r="J326" s="49" t="n">
        <x:v>1201</x:v>
      </x:c>
      <x:c r="K326" s="49" t="n">
        <x:v>58</x:v>
      </x:c>
      <x:c r="L326" s="49" t="n">
        <x:v>11</x:v>
      </x:c>
      <x:c r="M326" s="49" t="n">
        <x:v>0</x:v>
      </x:c>
      <x:c r="N326" s="49" t="n">
        <x:v>68.8051</x:v>
      </x:c>
      <x:c r="O326" s="49" t="n">
        <x:v>61.0996</x:v>
      </x:c>
      <x:c r="P326" s="49" t="n">
        <x:f>IF(OR(N326="",O326=""),"",2*N326*O326/(N326+O326))</x:f>
        <x:v>64.72381812143826</x:v>
      </x:c>
      <x:c r="Q326" s="58" t="str">
        <x:v>오픈열람실에서_오픈열람실2_터트리기_1.jpg; 오픈열람실에서_오픈열람실2_터트리기_2.jpg</x:v>
      </x:c>
      <x:c r="R326" s="58" t="str">
        <x:v>기존 Excel 대응</x:v>
      </x:c>
      <x:c r="S326" s="59" t="str"/>
    </x:row>
    <x:row r="327" ht="15" hidden="0" customHeight="1">
      <x:c r="A327" s="46" t="str">
        <x:v>CONGESTED_OPEN2_R1</x:v>
      </x:c>
      <x:c r="B327" s="47" t="str">
        <x:v>혼잡 유도</x:v>
      </x:c>
      <x:c r="C327" s="47" t="str">
        <x:v>오픈열람실</x:v>
      </x:c>
      <x:c r="D327" s="47" t="str">
        <x:v>오픈열람실2 AP</x:v>
      </x:c>
      <x:c r="E327" s="47" t="str">
        <x:v>고정</x:v>
      </x:c>
      <x:c r="F327" s="48"/>
      <x:c r="G327" s="48" t="n">
        <x:v>1</x:v>
      </x:c>
      <x:c r="H327" s="48" t="n">
        <x:v>7</x:v>
      </x:c>
      <x:c r="I327" s="49" t="n">
        <x:v>-52</x:v>
      </x:c>
      <x:c r="J327" s="49" t="n">
        <x:v>1201</x:v>
      </x:c>
      <x:c r="K327" s="49" t="n">
        <x:v>61</x:v>
      </x:c>
      <x:c r="L327" s="49" t="n">
        <x:v>13</x:v>
      </x:c>
      <x:c r="M327" s="49" t="n">
        <x:v>0</x:v>
      </x:c>
      <x:c r="N327" s="49" t="n">
        <x:v>27.6317</x:v>
      </x:c>
      <x:c r="O327" s="49" t="n">
        <x:v>42.8955</x:v>
      </x:c>
      <x:c r="P327" s="49" t="n">
        <x:f>IF(OR(N327="",O327=""),"",2*N327*O327/(N327+O327))</x:f>
        <x:v>33.611871373030546</x:v>
      </x:c>
      <x:c r="Q327" s="58" t="str">
        <x:v>오픈열람실에서_오픈열람실2_터트리기_1.jpg; 오픈열람실에서_오픈열람실2_터트리기_2.jpg</x:v>
      </x:c>
      <x:c r="R327" s="58" t="str">
        <x:v>기존 Excel 대응</x:v>
      </x:c>
      <x:c r="S327" s="59" t="str"/>
    </x:row>
    <x:row r="328" ht="15" hidden="0" customHeight="1">
      <x:c r="A328" s="46" t="str">
        <x:v>CONGESTED_OPEN2_R1</x:v>
      </x:c>
      <x:c r="B328" s="47" t="str">
        <x:v>혼잡 유도</x:v>
      </x:c>
      <x:c r="C328" s="47" t="str">
        <x:v>오픈열람실</x:v>
      </x:c>
      <x:c r="D328" s="47" t="str">
        <x:v>오픈열람실2 AP</x:v>
      </x:c>
      <x:c r="E328" s="47" t="str">
        <x:v>고정</x:v>
      </x:c>
      <x:c r="F328" s="48"/>
      <x:c r="G328" s="48" t="n">
        <x:v>1</x:v>
      </x:c>
      <x:c r="H328" s="48" t="n">
        <x:v>8</x:v>
      </x:c>
      <x:c r="I328" s="49" t="n">
        <x:v>-51</x:v>
      </x:c>
      <x:c r="J328" s="49" t="n">
        <x:v>1201</x:v>
      </x:c>
      <x:c r="K328" s="49" t="n">
        <x:v>88</x:v>
      </x:c>
      <x:c r="L328" s="49" t="n">
        <x:v>13</x:v>
      </x:c>
      <x:c r="M328" s="49" t="n">
        <x:v>0</x:v>
      </x:c>
      <x:c r="N328" s="49" t="n">
        <x:v>55.9859</x:v>
      </x:c>
      <x:c r="O328" s="49" t="n">
        <x:v>68.4746</x:v>
      </x:c>
      <x:c r="P328" s="49" t="n">
        <x:f>IF(OR(N328="",O328=""),"",2*N328*O328/(N328+O328))</x:f>
        <x:v>61.60367519237027</x:v>
      </x:c>
      <x:c r="Q328" s="58" t="str">
        <x:v>오픈열람실에서_오픈열람실2_터트리기_1.jpg; 오픈열람실에서_오픈열람실2_터트리기_2.jpg</x:v>
      </x:c>
      <x:c r="R328" s="58" t="str">
        <x:v>기존 Excel 대응</x:v>
      </x:c>
      <x:c r="S328" s="59" t="str"/>
    </x:row>
    <x:row r="329" ht="15" hidden="0" customHeight="1">
      <x:c r="A329" s="46" t="str">
        <x:v>CONGESTED_OPEN2_R1</x:v>
      </x:c>
      <x:c r="B329" s="47" t="str">
        <x:v>혼잡 유도</x:v>
      </x:c>
      <x:c r="C329" s="47" t="str">
        <x:v>오픈열람실</x:v>
      </x:c>
      <x:c r="D329" s="47" t="str">
        <x:v>오픈열람실2 AP</x:v>
      </x:c>
      <x:c r="E329" s="47" t="str">
        <x:v>고정</x:v>
      </x:c>
      <x:c r="F329" s="48"/>
      <x:c r="G329" s="48" t="n">
        <x:v>1</x:v>
      </x:c>
      <x:c r="H329" s="48" t="n">
        <x:v>9</x:v>
      </x:c>
      <x:c r="I329" s="49" t="n">
        <x:v>-53</x:v>
      </x:c>
      <x:c r="J329" s="49" t="n">
        <x:v>1201</x:v>
      </x:c>
      <x:c r="K329" s="49" t="n">
        <x:v>41</x:v>
      </x:c>
      <x:c r="L329" s="49" t="n">
        <x:v>12</x:v>
      </x:c>
      <x:c r="M329" s="49" t="n">
        <x:v>0</x:v>
      </x:c>
      <x:c r="N329" s="49" t="n">
        <x:v>56.3745</x:v>
      </x:c>
      <x:c r="O329" s="49" t="n">
        <x:v>26.7409</x:v>
      </x:c>
      <x:c r="P329" s="49" t="n">
        <x:f>IF(OR(N329="",O329=""),"",2*N329*O329/(N329+O329))</x:f>
        <x:v>36.274983145121126</x:v>
      </x:c>
      <x:c r="Q329" s="58" t="str">
        <x:v>오픈열람실에서_오픈열람실2_터트리기_1.jpg; 오픈열람실에서_오픈열람실2_터트리기_2.jpg</x:v>
      </x:c>
      <x:c r="R329" s="58" t="str">
        <x:v>기존 Excel 대응</x:v>
      </x:c>
      <x:c r="S329" s="59" t="str"/>
    </x:row>
    <x:row r="330" ht="15" hidden="0" customHeight="1">
      <x:c r="A330" s="46" t="str">
        <x:v>CONGESTED_OPEN2_R1</x:v>
      </x:c>
      <x:c r="B330" s="47" t="str">
        <x:v>혼잡 유도</x:v>
      </x:c>
      <x:c r="C330" s="47" t="str">
        <x:v>오픈열람실</x:v>
      </x:c>
      <x:c r="D330" s="47" t="str">
        <x:v>오픈열람실2 AP</x:v>
      </x:c>
      <x:c r="E330" s="47" t="str">
        <x:v>고정</x:v>
      </x:c>
      <x:c r="F330" s="48"/>
      <x:c r="G330" s="48" t="n">
        <x:v>1</x:v>
      </x:c>
      <x:c r="H330" s="48" t="n">
        <x:v>10</x:v>
      </x:c>
      <x:c r="I330" s="49" t="n">
        <x:v>-51</x:v>
      </x:c>
      <x:c r="J330" s="49" t="n">
        <x:v>1201</x:v>
      </x:c>
      <x:c r="K330" s="49" t="n">
        <x:v>63</x:v>
      </x:c>
      <x:c r="L330" s="49" t="n">
        <x:v>26</x:v>
      </x:c>
      <x:c r="M330" s="49" t="n">
        <x:v>0</x:v>
      </x:c>
      <x:c r="N330" s="49" t="n">
        <x:v>38.0172</x:v>
      </x:c>
      <x:c r="O330" s="49" t="n">
        <x:v>54.2057</x:v>
      </x:c>
      <x:c r="P330" s="49" t="n">
        <x:f>IF(OR(N330="",O330=""),"",2*N330*O330/(N330+O330))</x:f>
        <x:v>44.690612375884946</x:v>
      </x:c>
      <x:c r="Q330" s="58" t="str">
        <x:v>오픈열람실에서_오픈열람실2_터트리기_1.jpg; 오픈열람실에서_오픈열람실2_터트리기_2.jpg</x:v>
      </x:c>
      <x:c r="R330" s="58" t="str">
        <x:v>기존 Excel 대응</x:v>
      </x:c>
      <x:c r="S330" s="59" t="str"/>
    </x:row>
    <x:row r="331" ht="15" hidden="0" customHeight="1">
      <x:c r="A331" s="46" t="str">
        <x:v>CONGESTED_OPEN2_R1</x:v>
      </x:c>
      <x:c r="B331" s="47" t="str">
        <x:v>혼잡 유도</x:v>
      </x:c>
      <x:c r="C331" s="47" t="str">
        <x:v>오픈열람실</x:v>
      </x:c>
      <x:c r="D331" s="47" t="str">
        <x:v>오픈열람실2 AP</x:v>
      </x:c>
      <x:c r="E331" s="47" t="str">
        <x:v>고정</x:v>
      </x:c>
      <x:c r="F331" s="48"/>
      <x:c r="G331" s="48" t="n">
        <x:v>1</x:v>
      </x:c>
      <x:c r="H331" s="48" t="n">
        <x:v>11</x:v>
      </x:c>
      <x:c r="I331" s="49" t="n">
        <x:v>-49</x:v>
      </x:c>
      <x:c r="J331" s="49" t="n">
        <x:v>1201</x:v>
      </x:c>
      <x:c r="K331" s="49" t="n">
        <x:v>41</x:v>
      </x:c>
      <x:c r="L331" s="49" t="n">
        <x:v>26</x:v>
      </x:c>
      <x:c r="M331" s="49" t="n">
        <x:v>0</x:v>
      </x:c>
      <x:c r="N331" s="49" t="n">
        <x:v>50.8157</x:v>
      </x:c>
      <x:c r="O331" s="49" t="n">
        <x:v>25.9518</x:v>
      </x:c>
      <x:c r="P331" s="49" t="n">
        <x:f>IF(OR(N331="",O331=""),"",2*N331*O331/(N331+O331))</x:f>
        <x:v>34.357218439052986</x:v>
      </x:c>
      <x:c r="Q331" s="58" t="str">
        <x:v>오픈열람실에서_오픈열람실2_터트리기_1.jpg; 오픈열람실에서_오픈열람실2_터트리기_2.jpg</x:v>
      </x:c>
      <x:c r="R331" s="58" t="str">
        <x:v>기존 Excel 대응</x:v>
      </x:c>
      <x:c r="S331" s="59" t="str"/>
    </x:row>
    <x:row r="332" ht="15" hidden="0" customHeight="1">
      <x:c r="A332" s="46" t="str">
        <x:v>CONGESTED_OPEN2_R1</x:v>
      </x:c>
      <x:c r="B332" s="47" t="str">
        <x:v>혼잡 유도</x:v>
      </x:c>
      <x:c r="C332" s="47" t="str">
        <x:v>오픈열람실</x:v>
      </x:c>
      <x:c r="D332" s="47" t="str">
        <x:v>오픈열람실2 AP</x:v>
      </x:c>
      <x:c r="E332" s="47" t="str">
        <x:v>고정</x:v>
      </x:c>
      <x:c r="F332" s="48"/>
      <x:c r="G332" s="48" t="n">
        <x:v>1</x:v>
      </x:c>
      <x:c r="H332" s="48" t="n">
        <x:v>12</x:v>
      </x:c>
      <x:c r="I332" s="49" t="n">
        <x:v>-50</x:v>
      </x:c>
      <x:c r="J332" s="49" t="n">
        <x:v>1201</x:v>
      </x:c>
      <x:c r="K332" s="49" t="n">
        <x:v>60</x:v>
      </x:c>
      <x:c r="L332" s="49" t="n">
        <x:v>7</x:v>
      </x:c>
      <x:c r="M332" s="49" t="n">
        <x:v>0</x:v>
      </x:c>
      <x:c r="N332" s="49" t="n">
        <x:v>47.5341</x:v>
      </x:c>
      <x:c r="O332" s="49" t="n">
        <x:v>58.6451</x:v>
      </x:c>
      <x:c r="P332" s="49" t="n">
        <x:f>IF(OR(N332="",O332=""),"",2*N332*O332/(N332+O332))</x:f>
        <x:v>52.50825110586631</x:v>
      </x:c>
      <x:c r="Q332" s="58" t="str">
        <x:v>오픈열람실에서_오픈열람실2_터트리기_1.jpg; 오픈열람실에서_오픈열람실2_터트리기_2.jpg</x:v>
      </x:c>
      <x:c r="R332" s="58" t="str">
        <x:v>기존 Excel 대응</x:v>
      </x:c>
      <x:c r="S332" s="59" t="str"/>
    </x:row>
    <x:row r="333" ht="15" hidden="0" customHeight="1">
      <x:c r="A333" s="46" t="str">
        <x:v>CONGESTED_OPEN2_R1</x:v>
      </x:c>
      <x:c r="B333" s="47" t="str">
        <x:v>혼잡 유도</x:v>
      </x:c>
      <x:c r="C333" s="47" t="str">
        <x:v>오픈열람실</x:v>
      </x:c>
      <x:c r="D333" s="47" t="str">
        <x:v>오픈열람실2 AP</x:v>
      </x:c>
      <x:c r="E333" s="47" t="str">
        <x:v>고정</x:v>
      </x:c>
      <x:c r="F333" s="48"/>
      <x:c r="G333" s="48" t="n">
        <x:v>1</x:v>
      </x:c>
      <x:c r="H333" s="48" t="n">
        <x:v>13</x:v>
      </x:c>
      <x:c r="I333" s="49" t="n">
        <x:v>-50</x:v>
      </x:c>
      <x:c r="J333" s="49" t="n">
        <x:v>1201</x:v>
      </x:c>
      <x:c r="K333" s="49" t="n">
        <x:v>39</x:v>
      </x:c>
      <x:c r="L333" s="49" t="n">
        <x:v>8</x:v>
      </x:c>
      <x:c r="M333" s="49" t="n">
        <x:v>0</x:v>
      </x:c>
      <x:c r="N333" s="49" t="n">
        <x:v>13.4185</x:v>
      </x:c>
      <x:c r="O333" s="49" t="n">
        <x:v>57.8818</x:v>
      </x:c>
      <x:c r="P333" s="49" t="n">
        <x:f>IF(OR(N333="",O333=""),"",2*N333*O333/(N333+O333))</x:f>
        <x:v>21.786358074229703</x:v>
      </x:c>
      <x:c r="Q333" s="58" t="str">
        <x:v>오픈열람실에서_오픈열람실2_터트리기_1.jpg; 오픈열람실에서_오픈열람실2_터트리기_2.jpg</x:v>
      </x:c>
      <x:c r="R333" s="58" t="str">
        <x:v>기존 Excel 대응</x:v>
      </x:c>
      <x:c r="S333" s="59" t="str"/>
    </x:row>
    <x:row r="334" ht="15" hidden="0" customHeight="1">
      <x:c r="A334" s="46" t="str">
        <x:v>CONGESTED_OPEN2_R1</x:v>
      </x:c>
      <x:c r="B334" s="47" t="str">
        <x:v>혼잡 유도</x:v>
      </x:c>
      <x:c r="C334" s="47" t="str">
        <x:v>오픈열람실</x:v>
      </x:c>
      <x:c r="D334" s="47" t="str">
        <x:v>오픈열람실2 AP</x:v>
      </x:c>
      <x:c r="E334" s="47" t="str">
        <x:v>고정</x:v>
      </x:c>
      <x:c r="F334" s="48"/>
      <x:c r="G334" s="48" t="n">
        <x:v>1</x:v>
      </x:c>
      <x:c r="H334" s="48" t="n">
        <x:v>14</x:v>
      </x:c>
      <x:c r="I334" s="49" t="n">
        <x:v>-50</x:v>
      </x:c>
      <x:c r="J334" s="49" t="n">
        <x:v>1201</x:v>
      </x:c>
      <x:c r="K334" s="49" t="n">
        <x:v>35</x:v>
      </x:c>
      <x:c r="L334" s="49" t="n">
        <x:v>10</x:v>
      </x:c>
      <x:c r="M334" s="49" t="n">
        <x:v>0</x:v>
      </x:c>
      <x:c r="N334" s="49" t="n">
        <x:v>63.8608</x:v>
      </x:c>
      <x:c r="O334" s="49" t="n">
        <x:v>95.0764</x:v>
      </x:c>
      <x:c r="P334" s="49" t="n">
        <x:f>IF(OR(N334="",O334=""),"",2*N334*O334/(N334+O334))</x:f>
        <x:v>76.40319528870522</x:v>
      </x:c>
      <x:c r="Q334" s="58" t="str">
        <x:v>오픈열람실에서_오픈열람실2_터트리기_1.jpg; 오픈열람실에서_오픈열람실2_터트리기_2.jpg</x:v>
      </x:c>
      <x:c r="R334" s="58" t="str">
        <x:v>기존 Excel 대응</x:v>
      </x:c>
      <x:c r="S334" s="59" t="str"/>
    </x:row>
    <x:row r="335" ht="15" hidden="0" customHeight="1">
      <x:c r="A335" s="46" t="str">
        <x:v>CONGESTED_OPEN2_R1</x:v>
      </x:c>
      <x:c r="B335" s="47" t="str">
        <x:v>혼잡 유도</x:v>
      </x:c>
      <x:c r="C335" s="47" t="str">
        <x:v>오픈열람실</x:v>
      </x:c>
      <x:c r="D335" s="47" t="str">
        <x:v>오픈열람실2 AP</x:v>
      </x:c>
      <x:c r="E335" s="47" t="str">
        <x:v>고정</x:v>
      </x:c>
      <x:c r="F335" s="48"/>
      <x:c r="G335" s="48" t="n">
        <x:v>1</x:v>
      </x:c>
      <x:c r="H335" s="48" t="n">
        <x:v>15</x:v>
      </x:c>
      <x:c r="I335" s="49" t="n">
        <x:v>-50</x:v>
      </x:c>
      <x:c r="J335" s="49" t="n">
        <x:v>1201</x:v>
      </x:c>
      <x:c r="K335" s="49" t="n">
        <x:v>41</x:v>
      </x:c>
      <x:c r="L335" s="49" t="n">
        <x:v>7</x:v>
      </x:c>
      <x:c r="M335" s="49" t="n">
        <x:v>0</x:v>
      </x:c>
      <x:c r="N335" s="49" t="n">
        <x:v>33.4875</x:v>
      </x:c>
      <x:c r="O335" s="49" t="n">
        <x:v>76.1137</x:v>
      </x:c>
      <x:c r="P335" s="49" t="n">
        <x:f>IF(OR(N335="",O335=""),"",2*N335*O335/(N335+O335))</x:f>
        <x:v>46.51148944993303</x:v>
      </x:c>
      <x:c r="Q335" s="58" t="str">
        <x:v>오픈열람실에서_오픈열람실2_터트리기_1.jpg; 오픈열람실에서_오픈열람실2_터트리기_2.jpg</x:v>
      </x:c>
      <x:c r="R335" s="58" t="str">
        <x:v>기존 Excel 대응</x:v>
      </x:c>
      <x:c r="S335" s="59" t="str"/>
    </x:row>
    <x:row r="336" ht="15" hidden="0" customHeight="1">
      <x:c r="A336" s="46" t="str">
        <x:v>CONGESTED_OPEN2_R1</x:v>
      </x:c>
      <x:c r="B336" s="47" t="str">
        <x:v>혼잡 유도</x:v>
      </x:c>
      <x:c r="C336" s="47" t="str">
        <x:v>오픈열람실</x:v>
      </x:c>
      <x:c r="D336" s="47" t="str">
        <x:v>오픈열람실2 AP</x:v>
      </x:c>
      <x:c r="E336" s="47" t="str">
        <x:v>고정</x:v>
      </x:c>
      <x:c r="F336" s="48"/>
      <x:c r="G336" s="48" t="n">
        <x:v>1</x:v>
      </x:c>
      <x:c r="H336" s="48" t="n">
        <x:v>16</x:v>
      </x:c>
      <x:c r="I336" s="49" t="n">
        <x:v>-50</x:v>
      </x:c>
      <x:c r="J336" s="49" t="n">
        <x:v>1201</x:v>
      </x:c>
      <x:c r="K336" s="49" t="n">
        <x:v>35</x:v>
      </x:c>
      <x:c r="L336" s="49" t="n">
        <x:v>6</x:v>
      </x:c>
      <x:c r="M336" s="49" t="n">
        <x:v>0</x:v>
      </x:c>
      <x:c r="N336" s="49" t="n">
        <x:v>92.4217</x:v>
      </x:c>
      <x:c r="O336" s="49" t="n">
        <x:v>77.2396</x:v>
      </x:c>
      <x:c r="P336" s="49" t="n">
        <x:f>IF(OR(N336="",O336=""),"",2*N336*O336/(N336+O336))</x:f>
        <x:v>84.15136674444909</x:v>
      </x:c>
      <x:c r="Q336" s="58" t="str">
        <x:v>오픈열람실에서_오픈열람실2_터트리기_1.jpg; 오픈열람실에서_오픈열람실2_터트리기_2.jpg</x:v>
      </x:c>
      <x:c r="R336" s="58" t="str">
        <x:v>기존 Excel 대응</x:v>
      </x:c>
      <x:c r="S336" s="59" t="str"/>
    </x:row>
    <x:row r="337" ht="15" hidden="0" customHeight="1">
      <x:c r="A337" s="46" t="str">
        <x:v>CONGESTED_OPEN2_R1</x:v>
      </x:c>
      <x:c r="B337" s="47" t="str">
        <x:v>혼잡 유도</x:v>
      </x:c>
      <x:c r="C337" s="47" t="str">
        <x:v>오픈열람실</x:v>
      </x:c>
      <x:c r="D337" s="47" t="str">
        <x:v>오픈열람실2 AP</x:v>
      </x:c>
      <x:c r="E337" s="47" t="str">
        <x:v>고정</x:v>
      </x:c>
      <x:c r="F337" s="48"/>
      <x:c r="G337" s="48" t="n">
        <x:v>1</x:v>
      </x:c>
      <x:c r="H337" s="48" t="n">
        <x:v>17</x:v>
      </x:c>
      <x:c r="I337" s="49" t="n">
        <x:v>-52</x:v>
      </x:c>
      <x:c r="J337" s="49" t="n">
        <x:v>1201</x:v>
      </x:c>
      <x:c r="K337" s="49" t="n">
        <x:v>31</x:v>
      </x:c>
      <x:c r="L337" s="49" t="n">
        <x:v>11</x:v>
      </x:c>
      <x:c r="M337" s="49" t="n">
        <x:v>0</x:v>
      </x:c>
      <x:c r="N337" s="49" t="n">
        <x:v>94.8056</x:v>
      </x:c>
      <x:c r="O337" s="49" t="n">
        <x:v>53.3613</x:v>
      </x:c>
      <x:c r="P337" s="49" t="n">
        <x:f>IF(OR(N337="",O337=""),"",2*N337*O337/(N337+O337))</x:f>
        <x:v>68.2871824041672</x:v>
      </x:c>
      <x:c r="Q337" s="58" t="str">
        <x:v>오픈열람실에서_오픈열람실2_터트리기_1.jpg; 오픈열람실에서_오픈열람실2_터트리기_2.jpg</x:v>
      </x:c>
      <x:c r="R337" s="58" t="str">
        <x:v>기존 Excel 대응</x:v>
      </x:c>
      <x:c r="S337" s="59" t="str"/>
    </x:row>
    <x:row r="338" ht="15" hidden="0" customHeight="1">
      <x:c r="A338" s="46" t="str">
        <x:v>CONGESTED_OPEN2_R1</x:v>
      </x:c>
      <x:c r="B338" s="47" t="str">
        <x:v>혼잡 유도</x:v>
      </x:c>
      <x:c r="C338" s="47" t="str">
        <x:v>오픈열람실</x:v>
      </x:c>
      <x:c r="D338" s="47" t="str">
        <x:v>오픈열람실2 AP</x:v>
      </x:c>
      <x:c r="E338" s="47" t="str">
        <x:v>고정</x:v>
      </x:c>
      <x:c r="F338" s="48"/>
      <x:c r="G338" s="48" t="n">
        <x:v>1</x:v>
      </x:c>
      <x:c r="H338" s="48" t="n">
        <x:v>18</x:v>
      </x:c>
      <x:c r="I338" s="49" t="n">
        <x:v>-54</x:v>
      </x:c>
      <x:c r="J338" s="49" t="n">
        <x:v>1201</x:v>
      </x:c>
      <x:c r="K338" s="49" t="n">
        <x:v>34</x:v>
      </x:c>
      <x:c r="L338" s="49" t="n">
        <x:v>6</x:v>
      </x:c>
      <x:c r="M338" s="49" t="n">
        <x:v>0</x:v>
      </x:c>
      <x:c r="N338" s="49" t="n">
        <x:v>30.0155</x:v>
      </x:c>
      <x:c r="O338" s="49" t="n">
        <x:v>77.8652</x:v>
      </x:c>
      <x:c r="P338" s="49" t="n">
        <x:f>IF(OR(N338="",O338=""),"",2*N338*O338/(N338+O338))</x:f>
        <x:v>43.32865675880857</x:v>
      </x:c>
      <x:c r="Q338" s="58" t="str">
        <x:v>오픈열람실에서_오픈열람실2_터트리기_1.jpg; 오픈열람실에서_오픈열람실2_터트리기_2.jpg</x:v>
      </x:c>
      <x:c r="R338" s="58" t="str">
        <x:v>기존 Excel 대응</x:v>
      </x:c>
      <x:c r="S338" s="59" t="str"/>
    </x:row>
    <x:row r="339" ht="15" hidden="0" customHeight="1">
      <x:c r="A339" s="46" t="str">
        <x:v>CONGESTED_OPEN2_R1</x:v>
      </x:c>
      <x:c r="B339" s="47" t="str">
        <x:v>혼잡 유도</x:v>
      </x:c>
      <x:c r="C339" s="47" t="str">
        <x:v>오픈열람실</x:v>
      </x:c>
      <x:c r="D339" s="47" t="str">
        <x:v>오픈열람실2 AP</x:v>
      </x:c>
      <x:c r="E339" s="47" t="str">
        <x:v>고정</x:v>
      </x:c>
      <x:c r="F339" s="48"/>
      <x:c r="G339" s="48" t="n">
        <x:v>1</x:v>
      </x:c>
      <x:c r="H339" s="48" t="n">
        <x:v>19</x:v>
      </x:c>
      <x:c r="I339" s="49" t="n">
        <x:v>-51</x:v>
      </x:c>
      <x:c r="J339" s="49" t="n">
        <x:v>1201</x:v>
      </x:c>
      <x:c r="K339" s="49" t="n">
        <x:v>34</x:v>
      </x:c>
      <x:c r="L339" s="49" t="n">
        <x:v>6</x:v>
      </x:c>
      <x:c r="M339" s="49" t="n">
        <x:v>0</x:v>
      </x:c>
      <x:c r="N339" s="49" t="n">
        <x:v>22.6047</x:v>
      </x:c>
      <x:c r="O339" s="49" t="n">
        <x:v>66.7671</x:v>
      </x:c>
      <x:c r="P339" s="49" t="n">
        <x:f>IF(OR(N339="",O339=""),"",2*N339*O339/(N339+O339))</x:f>
        <x:v>33.77464178566393</x:v>
      </x:c>
      <x:c r="Q339" s="58" t="str">
        <x:v>오픈열람실에서_오픈열람실2_터트리기_1.jpg; 오픈열람실에서_오픈열람실2_터트리기_2.jpg</x:v>
      </x:c>
      <x:c r="R339" s="58" t="str">
        <x:v>기존 Excel 대응</x:v>
      </x:c>
      <x:c r="S339" s="59" t="str"/>
    </x:row>
    <x:row r="340" ht="15" hidden="0" customHeight="1">
      <x:c r="A340" s="46" t="str">
        <x:v>CONGESTED_OPEN2_R1</x:v>
      </x:c>
      <x:c r="B340" s="47" t="str">
        <x:v>혼잡 유도</x:v>
      </x:c>
      <x:c r="C340" s="47" t="str">
        <x:v>오픈열람실</x:v>
      </x:c>
      <x:c r="D340" s="47" t="str">
        <x:v>오픈열람실2 AP</x:v>
      </x:c>
      <x:c r="E340" s="47" t="str">
        <x:v>고정</x:v>
      </x:c>
      <x:c r="F340" s="48"/>
      <x:c r="G340" s="48" t="n">
        <x:v>1</x:v>
      </x:c>
      <x:c r="H340" s="48" t="n">
        <x:v>20</x:v>
      </x:c>
      <x:c r="I340" s="49" t="n">
        <x:v>-50</x:v>
      </x:c>
      <x:c r="J340" s="49" t="n">
        <x:v>1201</x:v>
      </x:c>
      <x:c r="K340" s="49" t="n">
        <x:v>68</x:v>
      </x:c>
      <x:c r="L340" s="49" t="n">
        <x:v>8</x:v>
      </x:c>
      <x:c r="M340" s="49" t="n">
        <x:v>0</x:v>
      </x:c>
      <x:c r="N340" s="49" t="n">
        <x:v>82.3013</x:v>
      </x:c>
      <x:c r="O340" s="49" t="n">
        <x:v>61.3923</x:v>
      </x:c>
      <x:c r="P340" s="49" t="n">
        <x:f>IF(OR(N340="",O340=""),"",2*N340*O340/(N340+O340))</x:f>
        <x:v>70.32555520900026</x:v>
      </x:c>
      <x:c r="Q340" s="58" t="str">
        <x:v>오픈열람실에서_오픈열람실2_터트리기_1.jpg; 오픈열람실에서_오픈열람실2_터트리기_2.jpg</x:v>
      </x:c>
      <x:c r="R340" s="58" t="str">
        <x:v>기존 Excel 대응</x:v>
      </x:c>
      <x:c r="S340" s="59" t="str"/>
    </x:row>
    <x:row r="341" ht="15" hidden="0" customHeight="1">
      <x:c r="A341" s="46" t="str">
        <x:v>CONGESTED_OPEN2_R1</x:v>
      </x:c>
      <x:c r="B341" s="47" t="str">
        <x:v>혼잡 유도</x:v>
      </x:c>
      <x:c r="C341" s="47" t="str">
        <x:v>오픈열람실</x:v>
      </x:c>
      <x:c r="D341" s="47" t="str">
        <x:v>오픈열람실2 AP</x:v>
      </x:c>
      <x:c r="E341" s="47" t="str">
        <x:v>고정</x:v>
      </x:c>
      <x:c r="F341" s="48"/>
      <x:c r="G341" s="48" t="n">
        <x:v>1</x:v>
      </x:c>
      <x:c r="H341" s="48" t="n">
        <x:v>21</x:v>
      </x:c>
      <x:c r="I341" s="49" t="n">
        <x:v>-55</x:v>
      </x:c>
      <x:c r="J341" s="49" t="n">
        <x:v>1201</x:v>
      </x:c>
      <x:c r="K341" s="49" t="n">
        <x:v>38</x:v>
      </x:c>
      <x:c r="L341" s="49" t="n">
        <x:v>17</x:v>
      </x:c>
      <x:c r="M341" s="49" t="n">
        <x:v>0</x:v>
      </x:c>
      <x:c r="N341" s="49" t="n">
        <x:v>53.709</x:v>
      </x:c>
      <x:c r="O341" s="49" t="n">
        <x:v>57.7727</x:v>
      </x:c>
      <x:c r="P341" s="49" t="n">
        <x:f>IF(OR(N341="",O341=""),"",2*N341*O341/(N341+O341))</x:f>
        <x:v>55.66678556749673</x:v>
      </x:c>
      <x:c r="Q341" s="58" t="str">
        <x:v>오픈열람실에서_오픈열람실2_터트리기_1.jpg; 오픈열람실에서_오픈열람실2_터트리기_2.jpg</x:v>
      </x:c>
      <x:c r="R341" s="58" t="str">
        <x:v>기존 Excel 대응</x:v>
      </x:c>
      <x:c r="S341" s="59" t="str"/>
    </x:row>
    <x:row r="342" ht="15" hidden="0" customHeight="1">
      <x:c r="A342" s="46" t="str">
        <x:v>CONGESTED_OPEN2_R1</x:v>
      </x:c>
      <x:c r="B342" s="47" t="str">
        <x:v>혼잡 유도</x:v>
      </x:c>
      <x:c r="C342" s="47" t="str">
        <x:v>오픈열람실</x:v>
      </x:c>
      <x:c r="D342" s="47" t="str">
        <x:v>오픈열람실2 AP</x:v>
      </x:c>
      <x:c r="E342" s="47" t="str">
        <x:v>고정</x:v>
      </x:c>
      <x:c r="F342" s="48"/>
      <x:c r="G342" s="48" t="n">
        <x:v>1</x:v>
      </x:c>
      <x:c r="H342" s="48" t="n">
        <x:v>22</x:v>
      </x:c>
      <x:c r="I342" s="49" t="n">
        <x:v>-55</x:v>
      </x:c>
      <x:c r="J342" s="49" t="n">
        <x:v>1201</x:v>
      </x:c>
      <x:c r="K342" s="49" t="n">
        <x:v>52</x:v>
      </x:c>
      <x:c r="L342" s="49" t="n">
        <x:v>22</x:v>
      </x:c>
      <x:c r="M342" s="49" t="n">
        <x:v>0</x:v>
      </x:c>
      <x:c r="N342" s="49" t="n">
        <x:v>2.5139</x:v>
      </x:c>
      <x:c r="O342" s="49" t="n">
        <x:v>23.6903</x:v>
      </x:c>
      <x:c r="P342" s="49" t="n">
        <x:f>IF(OR(N342="",O342=""),"",2*N342*O342/(N342+O342))</x:f>
        <x:v>4.54545799299349</x:v>
      </x:c>
      <x:c r="Q342" s="58" t="str">
        <x:v>오픈열람실에서_오픈열람실2_터트리기_1.jpg; 오픈열람실에서_오픈열람실2_터트리기_2.jpg</x:v>
      </x:c>
      <x:c r="R342" s="58" t="str">
        <x:v>기존 Excel 대응</x:v>
      </x:c>
      <x:c r="S342" s="59" t="str"/>
    </x:row>
    <x:row r="343" ht="15" hidden="0" customHeight="1">
      <x:c r="A343" s="46" t="str">
        <x:v>CONGESTED_OPEN2_R1</x:v>
      </x:c>
      <x:c r="B343" s="47" t="str">
        <x:v>혼잡 유도</x:v>
      </x:c>
      <x:c r="C343" s="47" t="str">
        <x:v>오픈열람실</x:v>
      </x:c>
      <x:c r="D343" s="47" t="str">
        <x:v>오픈열람실2 AP</x:v>
      </x:c>
      <x:c r="E343" s="47" t="str">
        <x:v>고정</x:v>
      </x:c>
      <x:c r="F343" s="48"/>
      <x:c r="G343" s="48" t="n">
        <x:v>1</x:v>
      </x:c>
      <x:c r="H343" s="48" t="n">
        <x:v>23</x:v>
      </x:c>
      <x:c r="I343" s="49" t="n">
        <x:v>-55</x:v>
      </x:c>
      <x:c r="J343" s="49" t="n">
        <x:v>1201</x:v>
      </x:c>
      <x:c r="K343" s="49" t="n">
        <x:v>89</x:v>
      </x:c>
      <x:c r="L343" s="49" t="n">
        <x:v>23</x:v>
      </x:c>
      <x:c r="M343" s="49" t="n">
        <x:v>0</x:v>
      </x:c>
      <x:c r="N343" s="49" t="n">
        <x:v>22.582</x:v>
      </x:c>
      <x:c r="O343" s="49" t="n">
        <x:v>46.668</x:v>
      </x:c>
      <x:c r="P343" s="49" t="n">
        <x:f>IF(OR(N343="",O343=""),"",2*N343*O343/(N343+O343))</x:f>
        <x:v>30.436296779783397</x:v>
      </x:c>
      <x:c r="Q343" s="58" t="str">
        <x:v>오픈열람실에서_오픈열람실2_터트리기_1.jpg; 오픈열람실에서_오픈열람실2_터트리기_2.jpg</x:v>
      </x:c>
      <x:c r="R343" s="58" t="str">
        <x:v>기존 Excel 대응</x:v>
      </x:c>
      <x:c r="S343" s="59" t="str"/>
    </x:row>
    <x:row r="344" ht="15" hidden="0" customHeight="1">
      <x:c r="A344" s="46" t="str">
        <x:v>CONGESTED_OPEN2_R1</x:v>
      </x:c>
      <x:c r="B344" s="47" t="str">
        <x:v>혼잡 유도</x:v>
      </x:c>
      <x:c r="C344" s="47" t="str">
        <x:v>오픈열람실</x:v>
      </x:c>
      <x:c r="D344" s="47" t="str">
        <x:v>오픈열람실2 AP</x:v>
      </x:c>
      <x:c r="E344" s="47" t="str">
        <x:v>고정</x:v>
      </x:c>
      <x:c r="F344" s="48"/>
      <x:c r="G344" s="48" t="n">
        <x:v>1</x:v>
      </x:c>
      <x:c r="H344" s="48" t="n">
        <x:v>24</x:v>
      </x:c>
      <x:c r="I344" s="49" t="n">
        <x:v>-54</x:v>
      </x:c>
      <x:c r="J344" s="49" t="n">
        <x:v>1201</x:v>
      </x:c>
      <x:c r="K344" s="49" t="n">
        <x:v>71</x:v>
      </x:c>
      <x:c r="L344" s="49" t="n">
        <x:v>10</x:v>
      </x:c>
      <x:c r="M344" s="49" t="n">
        <x:v>0</x:v>
      </x:c>
      <x:c r="N344" s="49" t="n">
        <x:v>3.3465</x:v>
      </x:c>
      <x:c r="O344" s="49" t="n">
        <x:v>54.093</x:v>
      </x:c>
      <x:c r="P344" s="49" t="n">
        <x:f>IF(OR(N344="",O344=""),"",2*N344*O344/(N344+O344))</x:f>
        <x:v>6.3030571122659484</x:v>
      </x:c>
      <x:c r="Q344" s="58" t="str">
        <x:v>오픈열람실에서_오픈열람실2_터트리기_1.jpg; 오픈열람실에서_오픈열람실2_터트리기_2.jpg</x:v>
      </x:c>
      <x:c r="R344" s="58" t="str">
        <x:v>기존 Excel 대응</x:v>
      </x:c>
      <x:c r="S344" s="59" t="str"/>
    </x:row>
    <x:row r="345" ht="15" hidden="0" customHeight="1">
      <x:c r="A345" s="46" t="str">
        <x:v>CONGESTED_OPEN2_R1</x:v>
      </x:c>
      <x:c r="B345" s="47" t="str">
        <x:v>혼잡 유도</x:v>
      </x:c>
      <x:c r="C345" s="47" t="str">
        <x:v>오픈열람실</x:v>
      </x:c>
      <x:c r="D345" s="47" t="str">
        <x:v>오픈열람실2 AP</x:v>
      </x:c>
      <x:c r="E345" s="47" t="str">
        <x:v>고정</x:v>
      </x:c>
      <x:c r="F345" s="48"/>
      <x:c r="G345" s="48" t="n">
        <x:v>1</x:v>
      </x:c>
      <x:c r="H345" s="48" t="n">
        <x:v>25</x:v>
      </x:c>
      <x:c r="I345" s="49" t="n">
        <x:v>-51</x:v>
      </x:c>
      <x:c r="J345" s="49" t="n">
        <x:v>1201</x:v>
      </x:c>
      <x:c r="K345" s="49" t="n">
        <x:v>60</x:v>
      </x:c>
      <x:c r="L345" s="49" t="n">
        <x:v>21</x:v>
      </x:c>
      <x:c r="M345" s="49" t="n">
        <x:v>0</x:v>
      </x:c>
      <x:c r="N345" s="49" t="n">
        <x:v>55.8672</x:v>
      </x:c>
      <x:c r="O345" s="49" t="n">
        <x:v>54.1433</x:v>
      </x:c>
      <x:c r="P345" s="49" t="n">
        <x:f>IF(OR(N345="",O345=""),"",2*N345*O345/(N345+O345))</x:f>
        <x:v>54.99174296562601</x:v>
      </x:c>
      <x:c r="Q345" s="58" t="str">
        <x:v>오픈열람실에서_오픈열람실2_터트리기_1.jpg; 오픈열람실에서_오픈열람실2_터트리기_2.jpg</x:v>
      </x:c>
      <x:c r="R345" s="58" t="str">
        <x:v>기존 Excel 대응</x:v>
      </x:c>
      <x:c r="S345" s="59" t="str"/>
    </x:row>
    <x:row r="346" ht="15" hidden="0" customHeight="1">
      <x:c r="A346" s="46" t="str">
        <x:v>CONGESTED_OPEN2_R1</x:v>
      </x:c>
      <x:c r="B346" s="47" t="str">
        <x:v>혼잡 유도</x:v>
      </x:c>
      <x:c r="C346" s="47" t="str">
        <x:v>오픈열람실</x:v>
      </x:c>
      <x:c r="D346" s="47" t="str">
        <x:v>오픈열람실2 AP</x:v>
      </x:c>
      <x:c r="E346" s="47" t="str">
        <x:v>고정</x:v>
      </x:c>
      <x:c r="F346" s="48"/>
      <x:c r="G346" s="48" t="n">
        <x:v>1</x:v>
      </x:c>
      <x:c r="H346" s="48" t="n">
        <x:v>26</x:v>
      </x:c>
      <x:c r="I346" s="49" t="n">
        <x:v>-55</x:v>
      </x:c>
      <x:c r="J346" s="49" t="n">
        <x:v>1201</x:v>
      </x:c>
      <x:c r="K346" s="49" t="n">
        <x:v>73</x:v>
      </x:c>
      <x:c r="L346" s="49" t="n">
        <x:v>15</x:v>
      </x:c>
      <x:c r="M346" s="49" t="n">
        <x:v>0</x:v>
      </x:c>
      <x:c r="N346" s="49" t="n">
        <x:v>31.8771</x:v>
      </x:c>
      <x:c r="O346" s="49" t="n">
        <x:v>53.7997</x:v>
      </x:c>
      <x:c r="P346" s="49" t="n">
        <x:f>IF(OR(N346="",O346=""),"",2*N346*O346/(N346+O346))</x:f>
        <x:v>40.0336711191361</x:v>
      </x:c>
      <x:c r="Q346" s="58" t="str">
        <x:v>오픈열람실에서_오픈열람실2_터트리기_1.jpg; 오픈열람실에서_오픈열람실2_터트리기_2.jpg</x:v>
      </x:c>
      <x:c r="R346" s="58" t="str">
        <x:v>기존 Excel 대응</x:v>
      </x:c>
      <x:c r="S346" s="59" t="str"/>
    </x:row>
    <x:row r="347" ht="15" hidden="0" customHeight="1">
      <x:c r="A347" s="46" t="str">
        <x:v>CONGESTED_OPEN2_R1</x:v>
      </x:c>
      <x:c r="B347" s="47" t="str">
        <x:v>혼잡 유도</x:v>
      </x:c>
      <x:c r="C347" s="47" t="str">
        <x:v>오픈열람실</x:v>
      </x:c>
      <x:c r="D347" s="47" t="str">
        <x:v>오픈열람실2 AP</x:v>
      </x:c>
      <x:c r="E347" s="47" t="str">
        <x:v>고정</x:v>
      </x:c>
      <x:c r="F347" s="48"/>
      <x:c r="G347" s="48" t="n">
        <x:v>1</x:v>
      </x:c>
      <x:c r="H347" s="48" t="n">
        <x:v>27</x:v>
      </x:c>
      <x:c r="I347" s="49" t="n">
        <x:v>-51</x:v>
      </x:c>
      <x:c r="J347" s="49" t="n">
        <x:v>1201</x:v>
      </x:c>
      <x:c r="K347" s="49" t="n">
        <x:v>78</x:v>
      </x:c>
      <x:c r="L347" s="49" t="n">
        <x:v>31</x:v>
      </x:c>
      <x:c r="M347" s="49" t="n">
        <x:v>0</x:v>
      </x:c>
      <x:c r="N347" s="49" t="n">
        <x:v>2.5129</x:v>
      </x:c>
      <x:c r="O347" s="49" t="n">
        <x:v>20.071</x:v>
      </x:c>
      <x:c r="P347" s="49" t="n">
        <x:f>IF(OR(N347="",O347=""),"",2*N347*O347/(N347+O347))</x:f>
        <x:v>4.466581582454758</x:v>
      </x:c>
      <x:c r="Q347" s="58" t="str">
        <x:v>오픈열람실에서_오픈열람실2_터트리기_1.jpg; 오픈열람실에서_오픈열람실2_터트리기_2.jpg</x:v>
      </x:c>
      <x:c r="R347" s="58" t="str">
        <x:v>기존 Excel 대응</x:v>
      </x:c>
      <x:c r="S347" s="59" t="str"/>
    </x:row>
    <x:row r="348" ht="15" hidden="0" customHeight="1">
      <x:c r="A348" s="46" t="str">
        <x:v>CONGESTED_OPEN2_R1</x:v>
      </x:c>
      <x:c r="B348" s="47" t="str">
        <x:v>혼잡 유도</x:v>
      </x:c>
      <x:c r="C348" s="47" t="str">
        <x:v>오픈열람실</x:v>
      </x:c>
      <x:c r="D348" s="47" t="str">
        <x:v>오픈열람실2 AP</x:v>
      </x:c>
      <x:c r="E348" s="47" t="str">
        <x:v>고정</x:v>
      </x:c>
      <x:c r="F348" s="48"/>
      <x:c r="G348" s="48" t="n">
        <x:v>1</x:v>
      </x:c>
      <x:c r="H348" s="48" t="n">
        <x:v>28</x:v>
      </x:c>
      <x:c r="I348" s="49" t="n">
        <x:v>-50</x:v>
      </x:c>
      <x:c r="J348" s="49" t="n">
        <x:v>1201</x:v>
      </x:c>
      <x:c r="K348" s="49" t="n">
        <x:v>45</x:v>
      </x:c>
      <x:c r="L348" s="49" t="n">
        <x:v>9</x:v>
      </x:c>
      <x:c r="M348" s="49" t="n">
        <x:v>0</x:v>
      </x:c>
      <x:c r="N348" s="49" t="n">
        <x:v>5.4466</x:v>
      </x:c>
      <x:c r="O348" s="49" t="n">
        <x:v>4.2008</x:v>
      </x:c>
      <x:c r="P348" s="49" t="n">
        <x:f>IF(OR(N348="",O348=""),"",2*N348*O348/(N348+O348))</x:f>
        <x:v>4.743262906067956</x:v>
      </x:c>
      <x:c r="Q348" s="58" t="str">
        <x:v>오픈열람실에서_오픈열람실2_터트리기_1.jpg; 오픈열람실에서_오픈열람실2_터트리기_2.jpg</x:v>
      </x:c>
      <x:c r="R348" s="58" t="str">
        <x:v>기존 Excel 대응</x:v>
      </x:c>
      <x:c r="S348" s="59" t="str"/>
    </x:row>
    <x:row r="349" ht="15" hidden="0" customHeight="1">
      <x:c r="A349" s="46" t="str">
        <x:v>CONGESTED_OPEN2_R1</x:v>
      </x:c>
      <x:c r="B349" s="47" t="str">
        <x:v>혼잡 유도</x:v>
      </x:c>
      <x:c r="C349" s="47" t="str">
        <x:v>오픈열람실</x:v>
      </x:c>
      <x:c r="D349" s="47" t="str">
        <x:v>오픈열람실2 AP</x:v>
      </x:c>
      <x:c r="E349" s="47" t="str">
        <x:v>고정</x:v>
      </x:c>
      <x:c r="F349" s="48"/>
      <x:c r="G349" s="48" t="n">
        <x:v>1</x:v>
      </x:c>
      <x:c r="H349" s="48" t="n">
        <x:v>29</x:v>
      </x:c>
      <x:c r="I349" s="49" t="n">
        <x:v>-53</x:v>
      </x:c>
      <x:c r="J349" s="49" t="n">
        <x:v>1201</x:v>
      </x:c>
      <x:c r="K349" s="49" t="n">
        <x:v>61</x:v>
      </x:c>
      <x:c r="L349" s="49" t="n">
        <x:v>10</x:v>
      </x:c>
      <x:c r="M349" s="49" t="n">
        <x:v>0</x:v>
      </x:c>
      <x:c r="N349" s="49" t="n">
        <x:v>24.3332</x:v>
      </x:c>
      <x:c r="O349" s="49" t="n">
        <x:v>40.3799</x:v>
      </x:c>
      <x:c r="P349" s="49" t="n">
        <x:f>IF(OR(N349="",O349=""),"",2*N349*O349/(N349+O349))</x:f>
        <x:v>30.367025615524526</x:v>
      </x:c>
      <x:c r="Q349" s="58" t="str">
        <x:v>오픈열람실에서_오픈열람실2_터트리기_1.jpg; 오픈열람실에서_오픈열람실2_터트리기_2.jpg</x:v>
      </x:c>
      <x:c r="R349" s="58" t="str">
        <x:v>기존 Excel 대응</x:v>
      </x:c>
      <x:c r="S349" s="59" t="str"/>
    </x:row>
    <x:row r="350" ht="15" hidden="0" customHeight="1">
      <x:c r="A350" s="46" t="str">
        <x:v>CONGESTED_OPEN2_R1</x:v>
      </x:c>
      <x:c r="B350" s="47" t="str">
        <x:v>혼잡 유도</x:v>
      </x:c>
      <x:c r="C350" s="47" t="str">
        <x:v>오픈열람실</x:v>
      </x:c>
      <x:c r="D350" s="47" t="str">
        <x:v>오픈열람실2 AP</x:v>
      </x:c>
      <x:c r="E350" s="47" t="str">
        <x:v>고정</x:v>
      </x:c>
      <x:c r="F350" s="48"/>
      <x:c r="G350" s="48" t="n">
        <x:v>1</x:v>
      </x:c>
      <x:c r="H350" s="48" t="n">
        <x:v>30</x:v>
      </x:c>
      <x:c r="I350" s="49" t="n">
        <x:v>-51</x:v>
      </x:c>
      <x:c r="J350" s="49" t="n">
        <x:v>1201</x:v>
      </x:c>
      <x:c r="K350" s="49" t="n">
        <x:v>79</x:v>
      </x:c>
      <x:c r="L350" s="49" t="n">
        <x:v>11</x:v>
      </x:c>
      <x:c r="M350" s="49" t="n">
        <x:v>0</x:v>
      </x:c>
      <x:c r="N350" s="49" t="n">
        <x:v>9.6351</x:v>
      </x:c>
      <x:c r="O350" s="49" t="n">
        <x:v>74.6333</x:v>
      </x:c>
      <x:c r="P350" s="49" t="n">
        <x:f>IF(OR(N350="",O350=""),"",2*N350*O350/(N350+O350))</x:f>
        <x:v>17.066879371864186</x:v>
      </x:c>
      <x:c r="Q350" s="58" t="str">
        <x:v>오픈열람실에서_오픈열람실2_터트리기_1.jpg; 오픈열람실에서_오픈열람실2_터트리기_2.jpg</x:v>
      </x:c>
      <x:c r="R350" s="58" t="str">
        <x:v>기존 Excel 대응</x:v>
      </x:c>
      <x:c r="S350" s="59" t="str"/>
    </x:row>
    <x:row r="351" ht="15" hidden="0" customHeight="1">
      <x:c r="A351" s="46" t="str">
        <x:v>CONGESTED_OPEN2_R1</x:v>
      </x:c>
      <x:c r="B351" s="47" t="str">
        <x:v>혼잡 유도</x:v>
      </x:c>
      <x:c r="C351" s="47" t="str">
        <x:v>오픈열람실</x:v>
      </x:c>
      <x:c r="D351" s="47" t="str">
        <x:v>오픈열람실2 AP</x:v>
      </x:c>
      <x:c r="E351" s="47" t="str">
        <x:v>고정</x:v>
      </x:c>
      <x:c r="F351" s="48"/>
      <x:c r="G351" s="48" t="n">
        <x:v>1</x:v>
      </x:c>
      <x:c r="H351" s="48" t="n">
        <x:v>31</x:v>
      </x:c>
      <x:c r="I351" s="49" t="n">
        <x:v>-52</x:v>
      </x:c>
      <x:c r="J351" s="49" t="n">
        <x:v>1201</x:v>
      </x:c>
      <x:c r="K351" s="49" t="n">
        <x:v>59</x:v>
      </x:c>
      <x:c r="L351" s="49" t="n">
        <x:v>25</x:v>
      </x:c>
      <x:c r="M351" s="49" t="n">
        <x:v>0</x:v>
      </x:c>
      <x:c r="N351" s="49" t="n">
        <x:v>4.1892</x:v>
      </x:c>
      <x:c r="O351" s="49" t="n">
        <x:v>34.1418</x:v>
      </x:c>
      <x:c r="P351" s="49" t="n">
        <x:f>IF(OR(N351="",O351=""),"",2*N351*O351/(N351+O351))</x:f>
        <x:v>7.462723568912891</x:v>
      </x:c>
      <x:c r="Q351" s="58" t="str">
        <x:v>오픈열람실에서_오픈열람실2_터트리기_1.jpg; 오픈열람실에서_오픈열람실2_터트리기_2.jpg</x:v>
      </x:c>
      <x:c r="R351" s="58" t="str">
        <x:v>기존 Excel 대응</x:v>
      </x:c>
      <x:c r="S351" s="59" t="str"/>
    </x:row>
    <x:row r="352" ht="15" hidden="0" customHeight="1">
      <x:c r="A352" s="46" t="str">
        <x:v>CONGESTED_OPEN2_R1</x:v>
      </x:c>
      <x:c r="B352" s="47" t="str">
        <x:v>혼잡 유도</x:v>
      </x:c>
      <x:c r="C352" s="47" t="str">
        <x:v>오픈열람실</x:v>
      </x:c>
      <x:c r="D352" s="47" t="str">
        <x:v>오픈열람실2 AP</x:v>
      </x:c>
      <x:c r="E352" s="47" t="str">
        <x:v>고정</x:v>
      </x:c>
      <x:c r="F352" s="48"/>
      <x:c r="G352" s="48" t="n">
        <x:v>1</x:v>
      </x:c>
      <x:c r="H352" s="48" t="n">
        <x:v>32</x:v>
      </x:c>
      <x:c r="I352" s="49" t="n">
        <x:v>-55</x:v>
      </x:c>
      <x:c r="J352" s="49" t="n">
        <x:v>1201</x:v>
      </x:c>
      <x:c r="K352" s="49" t="n">
        <x:v>84</x:v>
      </x:c>
      <x:c r="L352" s="49" t="n">
        <x:v>34</x:v>
      </x:c>
      <x:c r="M352" s="49" t="n">
        <x:v>0</x:v>
      </x:c>
      <x:c r="N352" s="49" t="n">
        <x:v>7.3521</x:v>
      </x:c>
      <x:c r="O352" s="49" t="n">
        <x:v>1.2556</x:v>
      </x:c>
      <x:c r="P352" s="49" t="n">
        <x:f>IF(OR(N352="",O352=""),"",2*N352*O352/(N352+O352))</x:f>
        <x:v>2.14489277274998</x:v>
      </x:c>
      <x:c r="Q352" s="58" t="str">
        <x:v>오픈열람실에서_오픈열람실2_터트리기_1.jpg; 오픈열람실에서_오픈열람실2_터트리기_2.jpg</x:v>
      </x:c>
      <x:c r="R352" s="58" t="str">
        <x:v>기존 Excel 대응</x:v>
      </x:c>
      <x:c r="S352" s="59" t="str"/>
    </x:row>
    <x:row r="353" ht="15" hidden="0" customHeight="1">
      <x:c r="A353" s="46" t="str">
        <x:v>CONGESTED_OPEN2_R1</x:v>
      </x:c>
      <x:c r="B353" s="47" t="str">
        <x:v>혼잡 유도</x:v>
      </x:c>
      <x:c r="C353" s="47" t="str">
        <x:v>오픈열람실</x:v>
      </x:c>
      <x:c r="D353" s="47" t="str">
        <x:v>오픈열람실2 AP</x:v>
      </x:c>
      <x:c r="E353" s="47" t="str">
        <x:v>고정</x:v>
      </x:c>
      <x:c r="F353" s="48"/>
      <x:c r="G353" s="48" t="n">
        <x:v>1</x:v>
      </x:c>
      <x:c r="H353" s="48" t="n">
        <x:v>33</x:v>
      </x:c>
      <x:c r="I353" s="49" t="n">
        <x:v>-53</x:v>
      </x:c>
      <x:c r="J353" s="49" t="n">
        <x:v>1201</x:v>
      </x:c>
      <x:c r="K353" s="49" t="n">
        <x:v>85</x:v>
      </x:c>
      <x:c r="L353" s="49" t="n">
        <x:v>36</x:v>
      </x:c>
      <x:c r="M353" s="49" t="n">
        <x:v>0</x:v>
      </x:c>
      <x:c r="N353" s="49" t="n">
        <x:v>0.4159</x:v>
      </x:c>
      <x:c r="O353" s="49" t="n">
        <x:v>23.2031</x:v>
      </x:c>
      <x:c r="P353" s="49" t="n">
        <x:f>IF(OR(N353="",O353=""),"",2*N353*O353/(N353+O353))</x:f>
        <x:v>0.817153079300563</x:v>
      </x:c>
      <x:c r="Q353" s="58" t="str">
        <x:v>오픈열람실에서_오픈열람실2_터트리기_1.jpg; 오픈열람실에서_오픈열람실2_터트리기_2.jpg</x:v>
      </x:c>
      <x:c r="R353" s="58" t="str">
        <x:v>기존 Excel 대응</x:v>
      </x:c>
      <x:c r="S353" s="59" t="str"/>
    </x:row>
    <x:row r="354" ht="15" hidden="0" customHeight="1">
      <x:c r="A354" s="46" t="str">
        <x:v>CONGESTED_OPEN2_R1</x:v>
      </x:c>
      <x:c r="B354" s="47" t="str">
        <x:v>혼잡 유도</x:v>
      </x:c>
      <x:c r="C354" s="47" t="str">
        <x:v>오픈열람실</x:v>
      </x:c>
      <x:c r="D354" s="47" t="str">
        <x:v>오픈열람실2 AP</x:v>
      </x:c>
      <x:c r="E354" s="47" t="str">
        <x:v>고정</x:v>
      </x:c>
      <x:c r="F354" s="48"/>
      <x:c r="G354" s="48" t="n">
        <x:v>1</x:v>
      </x:c>
      <x:c r="H354" s="48" t="n">
        <x:v>34</x:v>
      </x:c>
      <x:c r="I354" s="49" t="n">
        <x:v>-58</x:v>
      </x:c>
      <x:c r="J354" s="49" t="n">
        <x:v>1080.8</x:v>
      </x:c>
      <x:c r="K354" s="49" t="n">
        <x:v>87</x:v>
      </x:c>
      <x:c r="L354" s="49" t="n">
        <x:v>56</x:v>
      </x:c>
      <x:c r="M354" s="49" t="n">
        <x:v>0</x:v>
      </x:c>
      <x:c r="N354" s="49" t="n">
        <x:v>3.3454</x:v>
      </x:c>
      <x:c r="O354" s="49" t="n">
        <x:v>24.0745</x:v>
      </x:c>
      <x:c r="P354" s="49" t="n">
        <x:f>IF(OR(N354="",O354=""),"",2*N354*O354/(N354+O354))</x:f>
        <x:v>5.87448038103713</x:v>
      </x:c>
      <x:c r="Q354" s="58" t="str">
        <x:v>오픈열람실에서_오픈열람실2_터트리기_1.jpg; 오픈열람실에서_오픈열람실2_터트리기_2.jpg</x:v>
      </x:c>
      <x:c r="R354" s="58" t="str">
        <x:v>기존 Excel 대응</x:v>
      </x:c>
      <x:c r="S354" s="59" t="str"/>
    </x:row>
    <x:row r="355" ht="15" hidden="0" customHeight="1">
      <x:c r="A355" s="46" t="str">
        <x:v>CONGESTED_OPEN2_R1</x:v>
      </x:c>
      <x:c r="B355" s="47" t="str">
        <x:v>혼잡 유도</x:v>
      </x:c>
      <x:c r="C355" s="47" t="str">
        <x:v>오픈열람실</x:v>
      </x:c>
      <x:c r="D355" s="47" t="str">
        <x:v>오픈열람실2 AP</x:v>
      </x:c>
      <x:c r="E355" s="47" t="str">
        <x:v>고정</x:v>
      </x:c>
      <x:c r="F355" s="48"/>
      <x:c r="G355" s="48" t="n">
        <x:v>1</x:v>
      </x:c>
      <x:c r="H355" s="48" t="n">
        <x:v>35</x:v>
      </x:c>
      <x:c r="I355" s="49" t="n">
        <x:v>-52</x:v>
      </x:c>
      <x:c r="J355" s="49" t="n">
        <x:v>1201</x:v>
      </x:c>
      <x:c r="K355" s="49" t="n">
        <x:v>83</x:v>
      </x:c>
      <x:c r="L355" s="49" t="n">
        <x:v>19</x:v>
      </x:c>
      <x:c r="M355" s="49" t="n">
        <x:v>0</x:v>
      </x:c>
      <x:c r="N355" s="49" t="n">
        <x:v>16.5442</x:v>
      </x:c>
      <x:c r="O355" s="49" t="n">
        <x:v>58.5332</x:v>
      </x:c>
      <x:c r="P355" s="49" t="n">
        <x:f>IF(OR(N355="",O355=""),"",2*N355*O355/(N355+O355))</x:f>
        <x:v>25.796976651828647</x:v>
      </x:c>
      <x:c r="Q355" s="58" t="str">
        <x:v>오픈열람실에서_오픈열람실2_터트리기_1.jpg; 오픈열람실에서_오픈열람실2_터트리기_2.jpg</x:v>
      </x:c>
      <x:c r="R355" s="58" t="str">
        <x:v>기존 Excel 대응</x:v>
      </x:c>
      <x:c r="S355" s="59" t="str"/>
    </x:row>
    <x:row r="356" ht="15" hidden="0" customHeight="1">
      <x:c r="A356" s="46" t="str">
        <x:v>CONGESTED_OPEN2_R1</x:v>
      </x:c>
      <x:c r="B356" s="47" t="str">
        <x:v>혼잡 유도</x:v>
      </x:c>
      <x:c r="C356" s="47" t="str">
        <x:v>오픈열람실</x:v>
      </x:c>
      <x:c r="D356" s="47" t="str">
        <x:v>오픈열람실2 AP</x:v>
      </x:c>
      <x:c r="E356" s="47" t="str">
        <x:v>고정</x:v>
      </x:c>
      <x:c r="F356" s="48"/>
      <x:c r="G356" s="48" t="n">
        <x:v>1</x:v>
      </x:c>
      <x:c r="H356" s="48" t="n">
        <x:v>36</x:v>
      </x:c>
      <x:c r="I356" s="49" t="n">
        <x:v>-56</x:v>
      </x:c>
      <x:c r="J356" s="49" t="n">
        <x:v>1201</x:v>
      </x:c>
      <x:c r="K356" s="49" t="n">
        <x:v>78</x:v>
      </x:c>
      <x:c r="L356" s="49" t="n">
        <x:v>26</x:v>
      </x:c>
      <x:c r="M356" s="49" t="n">
        <x:v>0</x:v>
      </x:c>
      <x:c r="N356" s="49" t="n">
        <x:v>88.2988</x:v>
      </x:c>
      <x:c r="O356" s="49" t="n">
        <x:v>50.625</x:v>
      </x:c>
      <x:c r="P356" s="49" t="n">
        <x:f>IF(OR(N356="",O356=""),"",2*N356*O356/(N356+O356))</x:f>
        <x:v>64.35364926672032</x:v>
      </x:c>
      <x:c r="Q356" s="58" t="str">
        <x:v>오픈열람실에서_오픈열람실2_터트리기_1.jpg; 오픈열람실에서_오픈열람실2_터트리기_2.jpg</x:v>
      </x:c>
      <x:c r="R356" s="58" t="str">
        <x:v>기존 Excel 대응</x:v>
      </x:c>
      <x:c r="S356" s="59" t="str"/>
    </x:row>
    <x:row r="357" ht="15" hidden="0" customHeight="1">
      <x:c r="A357" s="46" t="str">
        <x:v>CONGESTED_OPEN2_R1</x:v>
      </x:c>
      <x:c r="B357" s="47" t="str">
        <x:v>혼잡 유도</x:v>
      </x:c>
      <x:c r="C357" s="47" t="str">
        <x:v>오픈열람실</x:v>
      </x:c>
      <x:c r="D357" s="47" t="str">
        <x:v>오픈열람실2 AP</x:v>
      </x:c>
      <x:c r="E357" s="47" t="str">
        <x:v>고정</x:v>
      </x:c>
      <x:c r="F357" s="48"/>
      <x:c r="G357" s="48" t="n">
        <x:v>1</x:v>
      </x:c>
      <x:c r="H357" s="48" t="n">
        <x:v>37</x:v>
      </x:c>
      <x:c r="I357" s="49" t="n">
        <x:v>-54</x:v>
      </x:c>
      <x:c r="J357" s="49" t="n">
        <x:v>1201</x:v>
      </x:c>
      <x:c r="K357" s="49" t="n">
        <x:v>56</x:v>
      </x:c>
      <x:c r="L357" s="49" t="n">
        <x:v>10</x:v>
      </x:c>
      <x:c r="M357" s="49" t="n">
        <x:v>0</x:v>
      </x:c>
      <x:c r="N357" s="49" t="n">
        <x:v>31.8765</x:v>
      </x:c>
      <x:c r="O357" s="49" t="n">
        <x:v>38.8818</x:v>
      </x:c>
      <x:c r="P357" s="49" t="n">
        <x:f>IF(OR(N357="",O357=""),"",2*N357*O357/(N357+O357))</x:f>
        <x:v>35.0323763487817</x:v>
      </x:c>
      <x:c r="Q357" s="58" t="str">
        <x:v>오픈열람실에서_오픈열람실2_터트리기_1.jpg; 오픈열람실에서_오픈열람실2_터트리기_2.jpg</x:v>
      </x:c>
      <x:c r="R357" s="58" t="str">
        <x:v>기존 Excel 대응</x:v>
      </x:c>
      <x:c r="S357" s="59" t="str"/>
    </x:row>
    <x:row r="358" ht="15" hidden="0" customHeight="1">
      <x:c r="A358" s="46" t="str">
        <x:v>CONGESTED_OPEN2_R1</x:v>
      </x:c>
      <x:c r="B358" s="47" t="str">
        <x:v>혼잡 유도</x:v>
      </x:c>
      <x:c r="C358" s="47" t="str">
        <x:v>오픈열람실</x:v>
      </x:c>
      <x:c r="D358" s="47" t="str">
        <x:v>오픈열람실2 AP</x:v>
      </x:c>
      <x:c r="E358" s="47" t="str">
        <x:v>고정</x:v>
      </x:c>
      <x:c r="F358" s="48"/>
      <x:c r="G358" s="48" t="n">
        <x:v>1</x:v>
      </x:c>
      <x:c r="H358" s="48" t="n">
        <x:v>38</x:v>
      </x:c>
      <x:c r="I358" s="49" t="n">
        <x:v>-53</x:v>
      </x:c>
      <x:c r="J358" s="49" t="n">
        <x:v>1201</x:v>
      </x:c>
      <x:c r="K358" s="49" t="n">
        <x:v>87</x:v>
      </x:c>
      <x:c r="L358" s="49" t="n">
        <x:v>54</x:v>
      </x:c>
      <x:c r="M358" s="49" t="n">
        <x:v>0</x:v>
      </x:c>
      <x:c r="N358" s="49" t="n">
        <x:v>0.6263</x:v>
      </x:c>
      <x:c r="O358" s="49" t="n">
        <x:v>36.8659</x:v>
      </x:c>
      <x:c r="P358" s="49" t="n">
        <x:f>IF(OR(N358="",O358=""),"",2*N358*O358/(N358+O358))</x:f>
        <x:v>1.2316755575826437</x:v>
      </x:c>
      <x:c r="Q358" s="58" t="str">
        <x:v>오픈열람실에서_오픈열람실2_터트리기_1.jpg; 오픈열람실에서_오픈열람실2_터트리기_2.jpg</x:v>
      </x:c>
      <x:c r="R358" s="58" t="str">
        <x:v>기존 Excel 대응</x:v>
      </x:c>
      <x:c r="S358" s="59" t="str"/>
    </x:row>
    <x:row r="359" ht="15" hidden="0" customHeight="1">
      <x:c r="A359" s="46" t="str">
        <x:v>CONGESTED_OPEN2_R1</x:v>
      </x:c>
      <x:c r="B359" s="47" t="str">
        <x:v>혼잡 유도</x:v>
      </x:c>
      <x:c r="C359" s="47" t="str">
        <x:v>오픈열람실</x:v>
      </x:c>
      <x:c r="D359" s="47" t="str">
        <x:v>오픈열람실2 AP</x:v>
      </x:c>
      <x:c r="E359" s="47" t="str">
        <x:v>고정</x:v>
      </x:c>
      <x:c r="F359" s="48"/>
      <x:c r="G359" s="48" t="n">
        <x:v>1</x:v>
      </x:c>
      <x:c r="H359" s="48" t="n">
        <x:v>39</x:v>
      </x:c>
      <x:c r="I359" s="49" t="n">
        <x:v>-52</x:v>
      </x:c>
      <x:c r="J359" s="49" t="n">
        <x:v>1201</x:v>
      </x:c>
      <x:c r="K359" s="49" t="n">
        <x:v>84</x:v>
      </x:c>
      <x:c r="L359" s="49" t="n">
        <x:v>24</x:v>
      </x:c>
      <x:c r="M359" s="49" t="n">
        <x:v>0</x:v>
      </x:c>
      <x:c r="N359" s="49" t="n">
        <x:v>1.0434</x:v>
      </x:c>
      <x:c r="O359" s="49" t="n">
        <x:v>16.4446</x:v>
      </x:c>
      <x:c r="P359" s="49" t="n">
        <x:f>IF(OR(N359="",O359=""),"",2*N359*O359/(N359+O359))</x:f>
        <x:v>1.962293645928637</x:v>
      </x:c>
      <x:c r="Q359" s="58" t="str">
        <x:v>오픈열람실에서_오픈열람실2_터트리기_1.jpg; 오픈열람실에서_오픈열람실2_터트리기_2.jpg</x:v>
      </x:c>
      <x:c r="R359" s="58" t="str">
        <x:v>기존 Excel 대응</x:v>
      </x:c>
      <x:c r="S359" s="59" t="str"/>
    </x:row>
    <x:row r="360" ht="15" hidden="0" customHeight="1">
      <x:c r="A360" s="46" t="str">
        <x:v>CONGESTED_OPEN2_R1</x:v>
      </x:c>
      <x:c r="B360" s="47" t="str">
        <x:v>혼잡 유도</x:v>
      </x:c>
      <x:c r="C360" s="47" t="str">
        <x:v>오픈열람실</x:v>
      </x:c>
      <x:c r="D360" s="47" t="str">
        <x:v>오픈열람실2 AP</x:v>
      </x:c>
      <x:c r="E360" s="47" t="str">
        <x:v>고정</x:v>
      </x:c>
      <x:c r="F360" s="48"/>
      <x:c r="G360" s="48" t="n">
        <x:v>1</x:v>
      </x:c>
      <x:c r="H360" s="48" t="n">
        <x:v>40</x:v>
      </x:c>
      <x:c r="I360" s="49" t="n">
        <x:v>-53</x:v>
      </x:c>
      <x:c r="J360" s="49" t="n">
        <x:v>1201</x:v>
      </x:c>
      <x:c r="K360" s="49" t="n">
        <x:v>71</x:v>
      </x:c>
      <x:c r="L360" s="49" t="n">
        <x:v>30</x:v>
      </x:c>
      <x:c r="M360" s="49" t="n">
        <x:v>0</x:v>
      </x:c>
      <x:c r="N360" s="49" t="n">
        <x:v>2.3017</x:v>
      </x:c>
      <x:c r="O360" s="49" t="n">
        <x:v>19.6817</x:v>
      </x:c>
      <x:c r="P360" s="49" t="n">
        <x:f>IF(OR(N360="",O360=""),"",2*N360*O360/(N360+O360))</x:f>
        <x:v>4.12141605848049</x:v>
      </x:c>
      <x:c r="Q360" s="58" t="str">
        <x:v>오픈열람실에서_오픈열람실2_터트리기_1.jpg; 오픈열람실에서_오픈열람실2_터트리기_2.jpg</x:v>
      </x:c>
      <x:c r="R360" s="58" t="str">
        <x:v>기존 Excel 대응</x:v>
      </x:c>
      <x:c r="S360" s="59" t="str"/>
    </x:row>
    <x:row r="361" ht="15" hidden="0" customHeight="1">
      <x:c r="A361" s="46" t="str">
        <x:v>CONGESTED_OPEN2_R1</x:v>
      </x:c>
      <x:c r="B361" s="47" t="str">
        <x:v>혼잡 유도</x:v>
      </x:c>
      <x:c r="C361" s="47" t="str">
        <x:v>오픈열람실</x:v>
      </x:c>
      <x:c r="D361" s="47" t="str">
        <x:v>오픈열람실2 AP</x:v>
      </x:c>
      <x:c r="E361" s="47" t="str">
        <x:v>고정</x:v>
      </x:c>
      <x:c r="F361" s="48"/>
      <x:c r="G361" s="48" t="n">
        <x:v>1</x:v>
      </x:c>
      <x:c r="H361" s="48" t="n">
        <x:v>41</x:v>
      </x:c>
      <x:c r="I361" s="49" t="n">
        <x:v>-50</x:v>
      </x:c>
      <x:c r="J361" s="49" t="n">
        <x:v>1201</x:v>
      </x:c>
      <x:c r="K361" s="49" t="n">
        <x:v>77</x:v>
      </x:c>
      <x:c r="L361" s="49" t="n">
        <x:v>32</x:v>
      </x:c>
      <x:c r="M361" s="49" t="n">
        <x:v>3.3333</x:v>
      </x:c>
      <x:c r="N361" s="49" t="n">
        <x:v>26.353</x:v>
      </x:c>
      <x:c r="O361" s="49" t="n">
        <x:v>37.4645</x:v>
      </x:c>
      <x:c r="P361" s="49" t="n">
        <x:f>IF(OR(N361="",O361=""),"",2*N361*O361/(N361+O361))</x:f>
        <x:v>30.94141790261292</x:v>
      </x:c>
      <x:c r="Q361" s="58" t="str">
        <x:v>오픈열람실에서_오픈열람실2_터트리기_1.jpg; 오픈열람실에서_오픈열람실2_터트리기_2.jpg</x:v>
      </x:c>
      <x:c r="R361" s="58" t="str">
        <x:v>기존 Excel 대응</x:v>
      </x:c>
      <x:c r="S361" s="59" t="str"/>
    </x:row>
    <x:row r="362" ht="15" hidden="0" customHeight="1">
      <x:c r="A362" s="46" t="str">
        <x:v>CONGESTED_OPEN2_R1</x:v>
      </x:c>
      <x:c r="B362" s="47" t="str">
        <x:v>혼잡 유도</x:v>
      </x:c>
      <x:c r="C362" s="47" t="str">
        <x:v>오픈열람실</x:v>
      </x:c>
      <x:c r="D362" s="47" t="str">
        <x:v>오픈열람실2 AP</x:v>
      </x:c>
      <x:c r="E362" s="47" t="str">
        <x:v>고정</x:v>
      </x:c>
      <x:c r="F362" s="48"/>
      <x:c r="G362" s="48" t="n">
        <x:v>1</x:v>
      </x:c>
      <x:c r="H362" s="48" t="n">
        <x:v>42</x:v>
      </x:c>
      <x:c r="I362" s="49" t="n">
        <x:v>-50</x:v>
      </x:c>
      <x:c r="J362" s="49" t="n">
        <x:v>1201</x:v>
      </x:c>
      <x:c r="K362" s="49" t="n">
        <x:v>83</x:v>
      </x:c>
      <x:c r="L362" s="49" t="n">
        <x:v>29</x:v>
      </x:c>
      <x:c r="M362" s="49" t="n">
        <x:v>0</x:v>
      </x:c>
      <x:c r="N362" s="49" t="n">
        <x:v>2.5233</x:v>
      </x:c>
      <x:c r="O362" s="49" t="n">
        <x:v>32.9268</x:v>
      </x:c>
      <x:c r="P362" s="49" t="n">
        <x:f>IF(OR(N362="",O362=""),"",2*N362*O362/(N362+O362))</x:f>
        <x:v>4.687388438396506</x:v>
      </x:c>
      <x:c r="Q362" s="58" t="str">
        <x:v>오픈열람실에서_오픈열람실2_터트리기_1.jpg; 오픈열람실에서_오픈열람실2_터트리기_2.jpg</x:v>
      </x:c>
      <x:c r="R362" s="58" t="str">
        <x:v>기존 Excel 대응</x:v>
      </x:c>
      <x:c r="S362" s="59" t="str"/>
    </x:row>
    <x:row r="363" ht="15" hidden="0" customHeight="1">
      <x:c r="A363" s="46" t="str">
        <x:v>CONGESTED_OPEN2_R1</x:v>
      </x:c>
      <x:c r="B363" s="47" t="str">
        <x:v>혼잡 유도</x:v>
      </x:c>
      <x:c r="C363" s="47" t="str">
        <x:v>오픈열람실</x:v>
      </x:c>
      <x:c r="D363" s="47" t="str">
        <x:v>오픈열람실2 AP</x:v>
      </x:c>
      <x:c r="E363" s="47" t="str">
        <x:v>고정</x:v>
      </x:c>
      <x:c r="F363" s="48"/>
      <x:c r="G363" s="48" t="n">
        <x:v>1</x:v>
      </x:c>
      <x:c r="H363" s="48" t="n">
        <x:v>43</x:v>
      </x:c>
      <x:c r="I363" s="49" t="n">
        <x:v>-59</x:v>
      </x:c>
      <x:c r="J363" s="49" t="n">
        <x:v>1201</x:v>
      </x:c>
      <x:c r="K363" s="49" t="n">
        <x:v>84</x:v>
      </x:c>
      <x:c r="L363" s="49" t="n">
        <x:v>13</x:v>
      </x:c>
      <x:c r="M363" s="49" t="n">
        <x:v>0</x:v>
      </x:c>
      <x:c r="N363" s="49" t="n">
        <x:v>4.1868</x:v>
      </x:c>
      <x:c r="O363" s="49" t="n">
        <x:v>17.6352</x:v>
      </x:c>
      <x:c r="P363" s="49" t="n">
        <x:f>IF(OR(N363="",O363=""),"",2*N363*O363/(N363+O363))</x:f>
        <x:v>6.767029177893868</x:v>
      </x:c>
      <x:c r="Q363" s="58" t="str">
        <x:v>오픈열람실에서_오픈열람실2_터트리기_1.jpg; 오픈열람실에서_오픈열람실2_터트리기_2.jpg</x:v>
      </x:c>
      <x:c r="R363" s="58" t="str">
        <x:v>기존 Excel 대응</x:v>
      </x:c>
      <x:c r="S363" s="59" t="str"/>
    </x:row>
    <x:row r="364" ht="15" hidden="0" customHeight="1">
      <x:c r="A364" s="46" t="str">
        <x:v>CONGESTED_OPEN2_R1</x:v>
      </x:c>
      <x:c r="B364" s="47" t="str">
        <x:v>혼잡 유도</x:v>
      </x:c>
      <x:c r="C364" s="47" t="str">
        <x:v>오픈열람실</x:v>
      </x:c>
      <x:c r="D364" s="47" t="str">
        <x:v>오픈열람실2 AP</x:v>
      </x:c>
      <x:c r="E364" s="47" t="str">
        <x:v>고정</x:v>
      </x:c>
      <x:c r="F364" s="48"/>
      <x:c r="G364" s="48" t="n">
        <x:v>1</x:v>
      </x:c>
      <x:c r="H364" s="48" t="n">
        <x:v>44</x:v>
      </x:c>
      <x:c r="I364" s="49" t="n">
        <x:v>-53</x:v>
      </x:c>
      <x:c r="J364" s="49" t="n">
        <x:v>1201</x:v>
      </x:c>
      <x:c r="K364" s="49" t="n">
        <x:v>82</x:v>
      </x:c>
      <x:c r="L364" s="49" t="n">
        <x:v>15</x:v>
      </x:c>
      <x:c r="M364" s="49" t="n">
        <x:v>0</x:v>
      </x:c>
      <x:c r="N364" s="49" t="n">
        <x:v>28.7015</x:v>
      </x:c>
      <x:c r="O364" s="49" t="n">
        <x:v>90.7586</x:v>
      </x:c>
      <x:c r="P364" s="49" t="n">
        <x:f>IF(OR(N364="",O364=""),"",2*N364*O364/(N364+O364))</x:f>
        <x:v>43.61134735196103</x:v>
      </x:c>
      <x:c r="Q364" s="58" t="str">
        <x:v>오픈열람실에서_오픈열람실2_터트리기_1.jpg; 오픈열람실에서_오픈열람실2_터트리기_2.jpg</x:v>
      </x:c>
      <x:c r="R364" s="58" t="str">
        <x:v>기존 Excel 대응</x:v>
      </x:c>
      <x:c r="S364" s="59" t="str"/>
    </x:row>
    <x:row r="365" ht="15" hidden="0" customHeight="1">
      <x:c r="A365" s="46" t="str">
        <x:v>CONGESTED_OPEN2_R1</x:v>
      </x:c>
      <x:c r="B365" s="47" t="str">
        <x:v>혼잡 유도</x:v>
      </x:c>
      <x:c r="C365" s="47" t="str">
        <x:v>오픈열람실</x:v>
      </x:c>
      <x:c r="D365" s="47" t="str">
        <x:v>오픈열람실2 AP</x:v>
      </x:c>
      <x:c r="E365" s="47" t="str">
        <x:v>고정</x:v>
      </x:c>
      <x:c r="F365" s="48"/>
      <x:c r="G365" s="48" t="n">
        <x:v>1</x:v>
      </x:c>
      <x:c r="H365" s="48" t="n">
        <x:v>45</x:v>
      </x:c>
      <x:c r="I365" s="49" t="n">
        <x:v>-57</x:v>
      </x:c>
      <x:c r="J365" s="49" t="n">
        <x:v>1201</x:v>
      </x:c>
      <x:c r="K365" s="49" t="n">
        <x:v>51</x:v>
      </x:c>
      <x:c r="L365" s="49" t="n">
        <x:v>23</x:v>
      </x:c>
      <x:c r="M365" s="49" t="n">
        <x:v>0</x:v>
      </x:c>
      <x:c r="N365" s="49" t="n">
        <x:v>47.7058</x:v>
      </x:c>
      <x:c r="O365" s="49" t="n">
        <x:v>61.0933</x:v>
      </x:c>
      <x:c r="P365" s="49" t="n">
        <x:f>IF(OR(N365="",O365=""),"",2*N365*O365/(N365+O365))</x:f>
        <x:v>53.57589816717234</x:v>
      </x:c>
      <x:c r="Q365" s="58" t="str">
        <x:v>오픈열람실에서_오픈열람실2_터트리기_1.jpg; 오픈열람실에서_오픈열람실2_터트리기_2.jpg</x:v>
      </x:c>
      <x:c r="R365" s="58" t="str">
        <x:v>기존 Excel 대응</x:v>
      </x:c>
      <x:c r="S365" s="59" t="str"/>
    </x:row>
    <x:row r="366" ht="15" hidden="0" customHeight="1">
      <x:c r="A366" s="46" t="str">
        <x:v>CONGESTED_OPEN2_R1</x:v>
      </x:c>
      <x:c r="B366" s="47" t="str">
        <x:v>혼잡 유도</x:v>
      </x:c>
      <x:c r="C366" s="47" t="str">
        <x:v>오픈열람실</x:v>
      </x:c>
      <x:c r="D366" s="47" t="str">
        <x:v>오픈열람실2 AP</x:v>
      </x:c>
      <x:c r="E366" s="47" t="str">
        <x:v>고정</x:v>
      </x:c>
      <x:c r="F366" s="48"/>
      <x:c r="G366" s="48" t="n">
        <x:v>1</x:v>
      </x:c>
      <x:c r="H366" s="48" t="n">
        <x:v>46</x:v>
      </x:c>
      <x:c r="I366" s="49" t="n">
        <x:v>-54</x:v>
      </x:c>
      <x:c r="J366" s="49" t="n">
        <x:v>1201</x:v>
      </x:c>
      <x:c r="K366" s="49" t="n">
        <x:v>79</x:v>
      </x:c>
      <x:c r="L366" s="49" t="n">
        <x:v>25</x:v>
      </x:c>
      <x:c r="M366" s="49" t="n">
        <x:v>0</x:v>
      </x:c>
      <x:c r="N366" s="49" t="n">
        <x:v>4.1881</x:v>
      </x:c>
      <x:c r="O366" s="49" t="n">
        <x:v>50.2445</x:v>
      </x:c>
      <x:c r="P366" s="49" t="n">
        <x:f>IF(OR(N366="",O366=""),"",2*N366*O366/(N366+O366))</x:f>
        <x:v>7.731726592152497</x:v>
      </x:c>
      <x:c r="Q366" s="58" t="str">
        <x:v>오픈열람실에서_오픈열람실2_터트리기_1.jpg; 오픈열람실에서_오픈열람실2_터트리기_2.jpg</x:v>
      </x:c>
      <x:c r="R366" s="58" t="str">
        <x:v>기존 Excel 대응</x:v>
      </x:c>
      <x:c r="S366" s="59" t="str"/>
    </x:row>
    <x:row r="367" ht="15" hidden="0" customHeight="1">
      <x:c r="A367" s="46" t="str">
        <x:v>CONGESTED_OPEN2_R1</x:v>
      </x:c>
      <x:c r="B367" s="47" t="str">
        <x:v>혼잡 유도</x:v>
      </x:c>
      <x:c r="C367" s="47" t="str">
        <x:v>오픈열람실</x:v>
      </x:c>
      <x:c r="D367" s="47" t="str">
        <x:v>오픈열람실2 AP</x:v>
      </x:c>
      <x:c r="E367" s="47" t="str">
        <x:v>고정</x:v>
      </x:c>
      <x:c r="F367" s="48"/>
      <x:c r="G367" s="48" t="n">
        <x:v>1</x:v>
      </x:c>
      <x:c r="H367" s="48" t="n">
        <x:v>47</x:v>
      </x:c>
      <x:c r="I367" s="49" t="n">
        <x:v>-51</x:v>
      </x:c>
      <x:c r="J367" s="49" t="n">
        <x:v>1201</x:v>
      </x:c>
      <x:c r="K367" s="49" t="n">
        <x:v>58</x:v>
      </x:c>
      <x:c r="L367" s="49" t="n">
        <x:v>16</x:v>
      </x:c>
      <x:c r="M367" s="49" t="n">
        <x:v>0</x:v>
      </x:c>
      <x:c r="N367" s="49" t="n">
        <x:v>19.9097</x:v>
      </x:c>
      <x:c r="O367" s="49" t="n">
        <x:v>32.4278</x:v>
      </x:c>
      <x:c r="P367" s="49" t="n">
        <x:f>IF(OR(N367="",O367=""),"",2*N367*O367/(N367+O367))</x:f>
        <x:v>24.67170841786482</x:v>
      </x:c>
      <x:c r="Q367" s="58" t="str">
        <x:v>오픈열람실에서_오픈열람실2_터트리기_1.jpg; 오픈열람실에서_오픈열람실2_터트리기_2.jpg</x:v>
      </x:c>
      <x:c r="R367" s="58" t="str">
        <x:v>기존 Excel 대응</x:v>
      </x:c>
      <x:c r="S367" s="59" t="str"/>
    </x:row>
    <x:row r="368" ht="15" hidden="0" customHeight="1">
      <x:c r="A368" s="46" t="str">
        <x:v>CONGESTED_OPEN2_R1</x:v>
      </x:c>
      <x:c r="B368" s="47" t="str">
        <x:v>혼잡 유도</x:v>
      </x:c>
      <x:c r="C368" s="47" t="str">
        <x:v>오픈열람실</x:v>
      </x:c>
      <x:c r="D368" s="47" t="str">
        <x:v>오픈열람실2 AP</x:v>
      </x:c>
      <x:c r="E368" s="47" t="str">
        <x:v>고정</x:v>
      </x:c>
      <x:c r="F368" s="48"/>
      <x:c r="G368" s="48" t="n">
        <x:v>1</x:v>
      </x:c>
      <x:c r="H368" s="48" t="n">
        <x:v>48</x:v>
      </x:c>
      <x:c r="I368" s="49" t="n">
        <x:v>-54</x:v>
      </x:c>
      <x:c r="J368" s="49" t="n">
        <x:v>1201</x:v>
      </x:c>
      <x:c r="K368" s="49" t="n">
        <x:v>81</x:v>
      </x:c>
      <x:c r="L368" s="49" t="n">
        <x:v>34</x:v>
      </x:c>
      <x:c r="M368" s="49" t="n">
        <x:v>0</x:v>
      </x:c>
      <x:c r="N368" s="49" t="n">
        <x:v>1.2458</x:v>
      </x:c>
      <x:c r="O368" s="49" t="n">
        <x:v>7.7554</x:v>
      </x:c>
      <x:c r="P368" s="49" t="n">
        <x:f>IF(OR(N368="",O368=""),"",2*N368*O368/(N368+O368))</x:f>
        <x:v>2.1467531706883527</x:v>
      </x:c>
      <x:c r="Q368" s="58" t="str">
        <x:v>오픈열람실에서_오픈열람실2_터트리기_1.jpg; 오픈열람실에서_오픈열람실2_터트리기_2.jpg</x:v>
      </x:c>
      <x:c r="R368" s="58" t="str">
        <x:v>기존 Excel 대응</x:v>
      </x:c>
      <x:c r="S368" s="59" t="str"/>
    </x:row>
    <x:row r="369" ht="15" hidden="0" customHeight="1">
      <x:c r="A369" s="46" t="str">
        <x:v>CONGESTED_OPEN2_R1</x:v>
      </x:c>
      <x:c r="B369" s="47" t="str">
        <x:v>혼잡 유도</x:v>
      </x:c>
      <x:c r="C369" s="47" t="str">
        <x:v>오픈열람실</x:v>
      </x:c>
      <x:c r="D369" s="47" t="str">
        <x:v>오픈열람실2 AP</x:v>
      </x:c>
      <x:c r="E369" s="47" t="str">
        <x:v>고정</x:v>
      </x:c>
      <x:c r="F369" s="48"/>
      <x:c r="G369" s="48" t="n">
        <x:v>1</x:v>
      </x:c>
      <x:c r="H369" s="48" t="n">
        <x:v>49</x:v>
      </x:c>
      <x:c r="I369" s="49" t="n">
        <x:v>-54</x:v>
      </x:c>
      <x:c r="J369" s="49" t="n">
        <x:v>1201</x:v>
      </x:c>
      <x:c r="K369" s="49" t="n">
        <x:v>92</x:v>
      </x:c>
      <x:c r="L369" s="49" t="n">
        <x:v>142</x:v>
      </x:c>
      <x:c r="M369" s="49" t="n">
        <x:v>3.3333</x:v>
      </x:c>
      <x:c r="N369" s="49" t="n">
        <x:v>6.0595</x:v>
      </x:c>
      <x:c r="O369" s="49" t="n">
        <x:v>0</x:v>
      </x:c>
      <x:c r="P369" s="49" t="str">
        <x:f>IF(OR(N369="",O369=""),"",2*N369*O369/(N369+O369))</x:f>
      </x:c>
      <x:c r="Q369" s="58" t="str">
        <x:v>오픈열람실에서_오픈열람실2_터트리기_1.jpg; 오픈열람실에서_오픈열람실2_터트리기_2.jpg</x:v>
      </x:c>
      <x:c r="R369" s="58" t="str">
        <x:v>기존 Excel 대응</x:v>
      </x:c>
      <x:c r="S369" s="59" t="str"/>
    </x:row>
    <x:row r="370" ht="15" hidden="0" customHeight="1">
      <x:c r="A370" s="46" t="str">
        <x:v>CONGESTED_OPEN2_R1</x:v>
      </x:c>
      <x:c r="B370" s="47" t="str">
        <x:v>혼잡 유도</x:v>
      </x:c>
      <x:c r="C370" s="47" t="str">
        <x:v>오픈열람실</x:v>
      </x:c>
      <x:c r="D370" s="47" t="str">
        <x:v>오픈열람실2 AP</x:v>
      </x:c>
      <x:c r="E370" s="47" t="str">
        <x:v>고정</x:v>
      </x:c>
      <x:c r="F370" s="48"/>
      <x:c r="G370" s="48" t="n">
        <x:v>1</x:v>
      </x:c>
      <x:c r="H370" s="48" t="n">
        <x:v>50</x:v>
      </x:c>
      <x:c r="I370" s="49" t="n">
        <x:v>-54</x:v>
      </x:c>
      <x:c r="J370" s="49" t="n">
        <x:v>1201</x:v>
      </x:c>
      <x:c r="K370" s="49" t="n">
        <x:v>90</x:v>
      </x:c>
      <x:c r="L370" s="49" t="n">
        <x:v>103</x:v>
      </x:c>
      <x:c r="M370" s="49" t="n">
        <x:v>0</x:v>
      </x:c>
      <x:c r="N370" s="49" t="n">
        <x:v>6.4692</x:v>
      </x:c>
      <x:c r="O370" s="49" t="n">
        <x:v>0.2092</x:v>
      </x:c>
      <x:c r="P370" s="49" t="n">
        <x:f>IF(OR(N370="",O370=""),"",2*N370*O370/(N370+O370))</x:f>
        <x:v>0.40529367513176806</x:v>
      </x:c>
      <x:c r="Q370" s="58" t="str">
        <x:v>오픈열람실에서_오픈열람실2_터트리기_1.jpg; 오픈열람실에서_오픈열람실2_터트리기_2.jpg</x:v>
      </x:c>
      <x:c r="R370" s="58" t="str">
        <x:v>기존 Excel 대응</x:v>
      </x:c>
      <x:c r="S370" s="59" t="str"/>
    </x:row>
    <x:row r="371" ht="15" hidden="0" customHeight="1">
      <x:c r="A371" s="46" t="str">
        <x:v>CONGESTED_OPEN2_R1</x:v>
      </x:c>
      <x:c r="B371" s="47" t="str">
        <x:v>혼잡 유도</x:v>
      </x:c>
      <x:c r="C371" s="47" t="str">
        <x:v>오픈열람실</x:v>
      </x:c>
      <x:c r="D371" s="47" t="str">
        <x:v>오픈열람실2 AP</x:v>
      </x:c>
      <x:c r="E371" s="47" t="str">
        <x:v>고정</x:v>
      </x:c>
      <x:c r="F371" s="48"/>
      <x:c r="G371" s="48" t="n">
        <x:v>1</x:v>
      </x:c>
      <x:c r="H371" s="48" t="n">
        <x:v>51</x:v>
      </x:c>
      <x:c r="I371" s="49" t="n">
        <x:v>-51</x:v>
      </x:c>
      <x:c r="J371" s="49" t="n">
        <x:v>1201</x:v>
      </x:c>
      <x:c r="K371" s="49" t="n">
        <x:v>89</x:v>
      </x:c>
      <x:c r="L371" s="49" t="n">
        <x:v>75</x:v>
      </x:c>
      <x:c r="M371" s="49" t="n">
        <x:v>0</x:v>
      </x:c>
      <x:c r="N371" s="49" t="n">
        <x:v>7.7475</x:v>
      </x:c>
      <x:c r="O371" s="49" t="n">
        <x:v>2.9331</x:v>
      </x:c>
      <x:c r="P371" s="49" t="n">
        <x:f>IF(OR(N371="",O371=""),"",2*N371*O371/(N371+O371))</x:f>
        <x:v>4.255227655749676</x:v>
      </x:c>
      <x:c r="Q371" s="58" t="str">
        <x:v>오픈열람실에서_오픈열람실2_터트리기_1.jpg; 오픈열람실에서_오픈열람실2_터트리기_2.jpg</x:v>
      </x:c>
      <x:c r="R371" s="58" t="str">
        <x:v>기존 Excel 대응</x:v>
      </x:c>
      <x:c r="S371" s="59" t="str"/>
    </x:row>
    <x:row r="372" ht="15" hidden="0" customHeight="1">
      <x:c r="A372" s="46" t="str">
        <x:v>CONGESTED_OPEN2_R1</x:v>
      </x:c>
      <x:c r="B372" s="47" t="str">
        <x:v>혼잡 유도</x:v>
      </x:c>
      <x:c r="C372" s="47" t="str">
        <x:v>오픈열람실</x:v>
      </x:c>
      <x:c r="D372" s="47" t="str">
        <x:v>오픈열람실2 AP</x:v>
      </x:c>
      <x:c r="E372" s="47" t="str">
        <x:v>고정</x:v>
      </x:c>
      <x:c r="F372" s="48"/>
      <x:c r="G372" s="48" t="n">
        <x:v>1</x:v>
      </x:c>
      <x:c r="H372" s="48" t="n">
        <x:v>52</x:v>
      </x:c>
      <x:c r="I372" s="49" t="n">
        <x:v>-50</x:v>
      </x:c>
      <x:c r="J372" s="49" t="n">
        <x:v>1201</x:v>
      </x:c>
      <x:c r="K372" s="49" t="n">
        <x:v>89</x:v>
      </x:c>
      <x:c r="L372" s="49" t="n">
        <x:v>45</x:v>
      </x:c>
      <x:c r="M372" s="49" t="n">
        <x:v>0</x:v>
      </x:c>
      <x:c r="N372" s="49" t="n">
        <x:v>12.0907</x:v>
      </x:c>
      <x:c r="O372" s="49" t="n">
        <x:v>0.2112</x:v>
      </x:c>
      <x:c r="P372" s="49" t="n">
        <x:f>IF(OR(N372="",O372=""),"",2*N372*O372/(N372+O372))</x:f>
        <x:v>0.4151482031230948</x:v>
      </x:c>
      <x:c r="Q372" s="58" t="str">
        <x:v>오픈열람실에서_오픈열람실2_터트리기_1.jpg; 오픈열람실에서_오픈열람실2_터트리기_2.jpg</x:v>
      </x:c>
      <x:c r="R372" s="58" t="str">
        <x:v>기존 Excel 대응</x:v>
      </x:c>
      <x:c r="S372" s="59" t="str"/>
    </x:row>
    <x:row r="373" ht="15" hidden="0" customHeight="1">
      <x:c r="A373" s="46" t="str">
        <x:v>CONGESTED_OPEN2_R1</x:v>
      </x:c>
      <x:c r="B373" s="47" t="str">
        <x:v>혼잡 유도</x:v>
      </x:c>
      <x:c r="C373" s="47" t="str">
        <x:v>오픈열람실</x:v>
      </x:c>
      <x:c r="D373" s="47" t="str">
        <x:v>오픈열람실2 AP</x:v>
      </x:c>
      <x:c r="E373" s="47" t="str">
        <x:v>고정</x:v>
      </x:c>
      <x:c r="F373" s="48"/>
      <x:c r="G373" s="48" t="n">
        <x:v>1</x:v>
      </x:c>
      <x:c r="H373" s="48" t="n">
        <x:v>53</x:v>
      </x:c>
      <x:c r="I373" s="49" t="n">
        <x:v>-52</x:v>
      </x:c>
      <x:c r="J373" s="49" t="n">
        <x:v>1201</x:v>
      </x:c>
      <x:c r="K373" s="49" t="n">
        <x:v>90</x:v>
      </x:c>
      <x:c r="L373" s="49" t="n">
        <x:v>43</x:v>
      </x:c>
      <x:c r="M373" s="49" t="n">
        <x:v>0</x:v>
      </x:c>
      <x:c r="N373" s="49" t="n">
        <x:v>5.4333</x:v>
      </x:c>
      <x:c r="O373" s="49" t="n">
        <x:v>1.4817</x:v>
      </x:c>
      <x:c r="P373" s="49" t="n">
        <x:f>IF(OR(N373="",O373=""),"",2*N373*O373/(N373+O373))</x:f>
        <x:v>2.3284224468546637</x:v>
      </x:c>
      <x:c r="Q373" s="58" t="str">
        <x:v>오픈열람실에서_오픈열람실2_터트리기_1.jpg; 오픈열람실에서_오픈열람실2_터트리기_2.jpg</x:v>
      </x:c>
      <x:c r="R373" s="58" t="str">
        <x:v>기존 Excel 대응</x:v>
      </x:c>
      <x:c r="S373" s="59" t="str"/>
    </x:row>
    <x:row r="374" ht="15" hidden="0" customHeight="1">
      <x:c r="A374" s="46" t="str">
        <x:v>CONGESTED_OPEN2_R1</x:v>
      </x:c>
      <x:c r="B374" s="47" t="str">
        <x:v>혼잡 유도</x:v>
      </x:c>
      <x:c r="C374" s="47" t="str">
        <x:v>오픈열람실</x:v>
      </x:c>
      <x:c r="D374" s="47" t="str">
        <x:v>오픈열람실2 AP</x:v>
      </x:c>
      <x:c r="E374" s="47" t="str">
        <x:v>고정</x:v>
      </x:c>
      <x:c r="F374" s="48"/>
      <x:c r="G374" s="48" t="n">
        <x:v>1</x:v>
      </x:c>
      <x:c r="H374" s="48" t="n">
        <x:v>54</x:v>
      </x:c>
      <x:c r="I374" s="49" t="n">
        <x:v>-51</x:v>
      </x:c>
      <x:c r="J374" s="49" t="n">
        <x:v>1201</x:v>
      </x:c>
      <x:c r="K374" s="49" t="n">
        <x:v>80</x:v>
      </x:c>
      <x:c r="L374" s="49" t="n">
        <x:v>15</x:v>
      </x:c>
      <x:c r="M374" s="49" t="n">
        <x:v>0</x:v>
      </x:c>
      <x:c r="N374" s="49" t="n">
        <x:v>35.788</x:v>
      </x:c>
      <x:c r="O374" s="49" t="n">
        <x:v>19.1005</x:v>
      </x:c>
      <x:c r="P374" s="49" t="n">
        <x:f>IF(OR(N374="",O374=""),"",2*N374*O374/(N374+O374))</x:f>
        <x:v>24.907537790247503</x:v>
      </x:c>
      <x:c r="Q374" s="58" t="str">
        <x:v>오픈열람실에서_오픈열람실2_터트리기_1.jpg; 오픈열람실에서_오픈열람실2_터트리기_2.jpg</x:v>
      </x:c>
      <x:c r="R374" s="58" t="str">
        <x:v>기존 Excel 대응</x:v>
      </x:c>
      <x:c r="S374" s="59" t="str"/>
    </x:row>
    <x:row r="375" ht="15" hidden="0" customHeight="1">
      <x:c r="A375" s="46" t="str">
        <x:v>CONGESTED_OPEN2_R1</x:v>
      </x:c>
      <x:c r="B375" s="47" t="str">
        <x:v>혼잡 유도</x:v>
      </x:c>
      <x:c r="C375" s="47" t="str">
        <x:v>오픈열람실</x:v>
      </x:c>
      <x:c r="D375" s="47" t="str">
        <x:v>오픈열람실2 AP</x:v>
      </x:c>
      <x:c r="E375" s="47" t="str">
        <x:v>고정</x:v>
      </x:c>
      <x:c r="F375" s="48"/>
      <x:c r="G375" s="48" t="n">
        <x:v>1</x:v>
      </x:c>
      <x:c r="H375" s="48" t="n">
        <x:v>55</x:v>
      </x:c>
      <x:c r="I375" s="49" t="n">
        <x:v>-51</x:v>
      </x:c>
      <x:c r="J375" s="49" t="n">
        <x:v>1201</x:v>
      </x:c>
      <x:c r="K375" s="49" t="n">
        <x:v>87</x:v>
      </x:c>
      <x:c r="L375" s="49" t="n">
        <x:v>26</x:v>
      </x:c>
      <x:c r="M375" s="49" t="n">
        <x:v>0</x:v>
      </x:c>
      <x:c r="N375" s="49" t="n">
        <x:v>48.955</x:v>
      </x:c>
      <x:c r="O375" s="49" t="n">
        <x:v>8.5733</x:v>
      </x:c>
      <x:c r="P375" s="49" t="n">
        <x:f>IF(OR(N375="",O375=""),"",2*N375*O375/(N375+O375))</x:f>
        <x:v>14.591284689448496</x:v>
      </x:c>
      <x:c r="Q375" s="58" t="str">
        <x:v>오픈열람실에서_오픈열람실2_터트리기_1.jpg; 오픈열람실에서_오픈열람실2_터트리기_2.jpg</x:v>
      </x:c>
      <x:c r="R375" s="58" t="str">
        <x:v>기존 Excel 대응</x:v>
      </x:c>
      <x:c r="S375" s="59" t="str"/>
    </x:row>
    <x:row r="376" ht="15" hidden="0" customHeight="1">
      <x:c r="A376" s="46" t="str">
        <x:v>CONGESTED_OPEN2_R1</x:v>
      </x:c>
      <x:c r="B376" s="47" t="str">
        <x:v>혼잡 유도</x:v>
      </x:c>
      <x:c r="C376" s="47" t="str">
        <x:v>오픈열람실</x:v>
      </x:c>
      <x:c r="D376" s="47" t="str">
        <x:v>오픈열람실2 AP</x:v>
      </x:c>
      <x:c r="E376" s="47" t="str">
        <x:v>고정</x:v>
      </x:c>
      <x:c r="F376" s="48"/>
      <x:c r="G376" s="48" t="n">
        <x:v>1</x:v>
      </x:c>
      <x:c r="H376" s="48" t="n">
        <x:v>56</x:v>
      </x:c>
      <x:c r="I376" s="49" t="n">
        <x:v>-53</x:v>
      </x:c>
      <x:c r="J376" s="49" t="n">
        <x:v>1201</x:v>
      </x:c>
      <x:c r="K376" s="49" t="n">
        <x:v>77</x:v>
      </x:c>
      <x:c r="L376" s="49" t="n">
        <x:v>17</x:v>
      </x:c>
      <x:c r="M376" s="49" t="n">
        <x:v>0</x:v>
      </x:c>
      <x:c r="N376" s="49" t="n">
        <x:v>91.4431</x:v>
      </x:c>
      <x:c r="O376" s="49" t="n">
        <x:v>56.8663</x:v>
      </x:c>
      <x:c r="P376" s="49" t="n">
        <x:f>IF(OR(N376="",O376=""),"",2*N376*O376/(N376+O376))</x:f>
        <x:v>70.12408866235046</x:v>
      </x:c>
      <x:c r="Q376" s="58" t="str">
        <x:v>오픈열람실에서_오픈열람실2_터트리기_1.jpg; 오픈열람실에서_오픈열람실2_터트리기_2.jpg</x:v>
      </x:c>
      <x:c r="R376" s="58" t="str">
        <x:v>기존 Excel 대응</x:v>
      </x:c>
      <x:c r="S376" s="59" t="str"/>
    </x:row>
    <x:row r="377" ht="15" hidden="0" customHeight="1">
      <x:c r="A377" s="46" t="str">
        <x:v>CONGESTED_OPEN2_R1</x:v>
      </x:c>
      <x:c r="B377" s="47" t="str">
        <x:v>혼잡 유도</x:v>
      </x:c>
      <x:c r="C377" s="47" t="str">
        <x:v>오픈열람실</x:v>
      </x:c>
      <x:c r="D377" s="47" t="str">
        <x:v>오픈열람실2 AP</x:v>
      </x:c>
      <x:c r="E377" s="47" t="str">
        <x:v>고정</x:v>
      </x:c>
      <x:c r="F377" s="48"/>
      <x:c r="G377" s="48" t="n">
        <x:v>1</x:v>
      </x:c>
      <x:c r="H377" s="48" t="n">
        <x:v>57</x:v>
      </x:c>
      <x:c r="I377" s="49" t="n">
        <x:v>-52</x:v>
      </x:c>
      <x:c r="J377" s="49" t="n">
        <x:v>1201</x:v>
      </x:c>
      <x:c r="K377" s="49" t="n">
        <x:v>54</x:v>
      </x:c>
      <x:c r="L377" s="49" t="n">
        <x:v>22</x:v>
      </x:c>
      <x:c r="M377" s="49" t="n">
        <x:v>0</x:v>
      </x:c>
      <x:c r="N377" s="49" t="n">
        <x:v>32.2685</x:v>
      </x:c>
      <x:c r="O377" s="49" t="n">
        <x:v>5.6557</x:v>
      </x:c>
      <x:c r="P377" s="49" t="n">
        <x:f>IF(OR(N377="",O377=""),"",2*N377*O377/(N377+O377))</x:f>
        <x:v>9.624511813037586</x:v>
      </x:c>
      <x:c r="Q377" s="58" t="str">
        <x:v>오픈열람실에서_오픈열람실2_터트리기_1.jpg; 오픈열람실에서_오픈열람실2_터트리기_2.jpg</x:v>
      </x:c>
      <x:c r="R377" s="58" t="str">
        <x:v>기존 Excel 대응</x:v>
      </x:c>
      <x:c r="S377" s="59" t="str"/>
    </x:row>
    <x:row r="378" ht="15" hidden="0" customHeight="1">
      <x:c r="A378" s="46" t="str">
        <x:v>CONGESTED_OPEN2_R1</x:v>
      </x:c>
      <x:c r="B378" s="47" t="str">
        <x:v>혼잡 유도</x:v>
      </x:c>
      <x:c r="C378" s="47" t="str">
        <x:v>오픈열람실</x:v>
      </x:c>
      <x:c r="D378" s="47" t="str">
        <x:v>오픈열람실2 AP</x:v>
      </x:c>
      <x:c r="E378" s="47" t="str">
        <x:v>고정</x:v>
      </x:c>
      <x:c r="F378" s="48"/>
      <x:c r="G378" s="48" t="n">
        <x:v>1</x:v>
      </x:c>
      <x:c r="H378" s="48" t="n">
        <x:v>58</x:v>
      </x:c>
      <x:c r="I378" s="49" t="n">
        <x:v>-53</x:v>
      </x:c>
      <x:c r="J378" s="49" t="n">
        <x:v>1201</x:v>
      </x:c>
      <x:c r="K378" s="49" t="n">
        <x:v>81</x:v>
      </x:c>
      <x:c r="L378" s="49" t="n">
        <x:v>39</x:v>
      </x:c>
      <x:c r="M378" s="49" t="n">
        <x:v>0</x:v>
      </x:c>
      <x:c r="N378" s="49" t="n">
        <x:v>64.5423</x:v>
      </x:c>
      <x:c r="O378" s="49" t="n">
        <x:v>9.8685</x:v>
      </x:c>
      <x:c r="P378" s="49" t="n">
        <x:f>IF(OR(N378="",O378=""),"",2*N378*O378/(N378+O378))</x:f>
        <x:v>17.119442004386457</x:v>
      </x:c>
      <x:c r="Q378" s="58" t="str">
        <x:v>오픈열람실에서_오픈열람실2_터트리기_1.jpg; 오픈열람실에서_오픈열람실2_터트리기_2.jpg</x:v>
      </x:c>
      <x:c r="R378" s="58" t="str">
        <x:v>기존 Excel 대응</x:v>
      </x:c>
      <x:c r="S378" s="59" t="str"/>
    </x:row>
    <x:row r="379" ht="15" hidden="0" customHeight="1">
      <x:c r="A379" s="46" t="str">
        <x:v>CONGESTED_OPEN2_R1</x:v>
      </x:c>
      <x:c r="B379" s="47" t="str">
        <x:v>혼잡 유도</x:v>
      </x:c>
      <x:c r="C379" s="47" t="str">
        <x:v>오픈열람실</x:v>
      </x:c>
      <x:c r="D379" s="47" t="str">
        <x:v>오픈열람실2 AP</x:v>
      </x:c>
      <x:c r="E379" s="47" t="str">
        <x:v>고정</x:v>
      </x:c>
      <x:c r="F379" s="48"/>
      <x:c r="G379" s="48" t="n">
        <x:v>1</x:v>
      </x:c>
      <x:c r="H379" s="48" t="n">
        <x:v>59</x:v>
      </x:c>
      <x:c r="I379" s="49" t="n">
        <x:v>-53</x:v>
      </x:c>
      <x:c r="J379" s="49" t="n">
        <x:v>1201</x:v>
      </x:c>
      <x:c r="K379" s="49" t="n">
        <x:v>50</x:v>
      </x:c>
      <x:c r="L379" s="49" t="n">
        <x:v>6</x:v>
      </x:c>
      <x:c r="M379" s="49" t="n">
        <x:v>0</x:v>
      </x:c>
      <x:c r="N379" s="49" t="n">
        <x:v>20.9406</x:v>
      </x:c>
      <x:c r="O379" s="49" t="n">
        <x:v>61.8937</x:v>
      </x:c>
      <x:c r="P379" s="49" t="n">
        <x:f>IF(OR(N379="",O379=""),"",2*N379*O379/(N379+O379))</x:f>
        <x:v>31.293587661632923</x:v>
      </x:c>
      <x:c r="Q379" s="58" t="str">
        <x:v>오픈열람실에서_오픈열람실2_터트리기_1.jpg; 오픈열람실에서_오픈열람실2_터트리기_2.jpg</x:v>
      </x:c>
      <x:c r="R379" s="58" t="str">
        <x:v>기존 Excel 대응</x:v>
      </x:c>
      <x:c r="S379" s="59" t="str"/>
    </x:row>
    <x:row r="380" ht="15" hidden="0" customHeight="1">
      <x:c r="A380" s="46" t="str">
        <x:v>CONGESTED_OPEN2_R1</x:v>
      </x:c>
      <x:c r="B380" s="47" t="str">
        <x:v>혼잡 유도</x:v>
      </x:c>
      <x:c r="C380" s="47" t="str">
        <x:v>오픈열람실</x:v>
      </x:c>
      <x:c r="D380" s="47" t="str">
        <x:v>오픈열람실2 AP</x:v>
      </x:c>
      <x:c r="E380" s="47" t="str">
        <x:v>고정</x:v>
      </x:c>
      <x:c r="F380" s="48"/>
      <x:c r="G380" s="48" t="n">
        <x:v>1</x:v>
      </x:c>
      <x:c r="H380" s="48" t="n">
        <x:v>60</x:v>
      </x:c>
      <x:c r="I380" s="49" t="n">
        <x:v>-52</x:v>
      </x:c>
      <x:c r="J380" s="49" t="n">
        <x:v>1201</x:v>
      </x:c>
      <x:c r="K380" s="49" t="n">
        <x:v>82</x:v>
      </x:c>
      <x:c r="L380" s="49" t="n">
        <x:v>18</x:v>
      </x:c>
      <x:c r="M380" s="49" t="n">
        <x:v>0</x:v>
      </x:c>
      <x:c r="N380" s="49" t="n">
        <x:v>71.0115</x:v>
      </x:c>
      <x:c r="O380" s="49" t="n">
        <x:v>4.1951</x:v>
      </x:c>
      <x:c r="P380" s="49" t="n">
        <x:f>IF(OR(N380="",O380=""),"",2*N380*O380/(N380+O380))</x:f>
        <x:v>7.922186181797874</x:v>
      </x:c>
      <x:c r="Q380" s="58" t="str">
        <x:v>오픈열람실에서_오픈열람실2_터트리기_1.jpg; 오픈열람실에서_오픈열람실2_터트리기_2.jpg</x:v>
      </x:c>
      <x:c r="R380" s="58" t="str">
        <x:v>기존 Excel 대응</x:v>
      </x:c>
      <x:c r="S380" s="59" t="str"/>
    </x:row>
    <x:row r="381" ht="15" hidden="0" customHeight="1">
      <x:c r="A381" s="46" t="str">
        <x:v>CONGESTED_OPEN2_R1</x:v>
      </x:c>
      <x:c r="B381" s="47" t="str">
        <x:v>혼잡 유도</x:v>
      </x:c>
      <x:c r="C381" s="47" t="str">
        <x:v>오픈열람실</x:v>
      </x:c>
      <x:c r="D381" s="47" t="str">
        <x:v>오픈열람실2 AP</x:v>
      </x:c>
      <x:c r="E381" s="47" t="str">
        <x:v>고정</x:v>
      </x:c>
      <x:c r="F381" s="48"/>
      <x:c r="G381" s="48" t="n">
        <x:v>1</x:v>
      </x:c>
      <x:c r="H381" s="48" t="n">
        <x:v>61</x:v>
      </x:c>
      <x:c r="I381" s="49" t="n">
        <x:v>-52</x:v>
      </x:c>
      <x:c r="J381" s="49" t="n">
        <x:v>1201</x:v>
      </x:c>
      <x:c r="K381" s="49" t="n">
        <x:v>81</x:v>
      </x:c>
      <x:c r="L381" s="49" t="n">
        <x:v>36</x:v>
      </x:c>
      <x:c r="M381" s="49" t="n">
        <x:v>0</x:v>
      </x:c>
      <x:c r="N381" s="49" t="n">
        <x:v>33.1206</x:v>
      </x:c>
      <x:c r="O381" s="49" t="n">
        <x:v>5.6522</x:v>
      </x:c>
      <x:c r="P381" s="49" t="n">
        <x:f>IF(OR(N381="",O381=""),"",2*N381*O381/(N381+O381))</x:f>
        <x:v>9.656473368959682</x:v>
      </x:c>
      <x:c r="Q381" s="58" t="str">
        <x:v>오픈열람실에서_오픈열람실2_터트리기_1.jpg; 오픈열람실에서_오픈열람실2_터트리기_2.jpg</x:v>
      </x:c>
      <x:c r="R381" s="58" t="str">
        <x:v>기존 Excel 대응</x:v>
      </x:c>
      <x:c r="S381" s="59" t="str"/>
    </x:row>
    <x:row r="382" ht="15" hidden="0" customHeight="1">
      <x:c r="A382" s="46" t="str">
        <x:v>CONGESTED_OPEN2_R1</x:v>
      </x:c>
      <x:c r="B382" s="47" t="str">
        <x:v>혼잡 유도</x:v>
      </x:c>
      <x:c r="C382" s="47" t="str">
        <x:v>오픈열람실</x:v>
      </x:c>
      <x:c r="D382" s="47" t="str">
        <x:v>오픈열람실2 AP</x:v>
      </x:c>
      <x:c r="E382" s="47" t="str">
        <x:v>고정</x:v>
      </x:c>
      <x:c r="F382" s="48"/>
      <x:c r="G382" s="48" t="n">
        <x:v>1</x:v>
      </x:c>
      <x:c r="H382" s="48" t="n">
        <x:v>62</x:v>
      </x:c>
      <x:c r="I382" s="49" t="n">
        <x:v>-54</x:v>
      </x:c>
      <x:c r="J382" s="49" t="n">
        <x:v>1201</x:v>
      </x:c>
      <x:c r="K382" s="49" t="n">
        <x:v>85</x:v>
      </x:c>
      <x:c r="L382" s="49" t="n">
        <x:v>17</x:v>
      </x:c>
      <x:c r="M382" s="49" t="n">
        <x:v>0</x:v>
      </x:c>
      <x:c r="N382" s="49" t="n">
        <x:v>15.7039</x:v>
      </x:c>
      <x:c r="O382" s="49" t="n">
        <x:v>2.9365</x:v>
      </x:c>
      <x:c r="P382" s="49" t="n">
        <x:f>IF(OR(N382="",O382=""),"",2*N382*O382/(N382+O382))</x:f>
        <x:v>4.947801801463489</x:v>
      </x:c>
      <x:c r="Q382" s="58" t="str">
        <x:v>오픈열람실에서_오픈열람실2_터트리기_1.jpg; 오픈열람실에서_오픈열람실2_터트리기_2.jpg</x:v>
      </x:c>
      <x:c r="R382" s="58" t="str">
        <x:v>기존 Excel 대응</x:v>
      </x:c>
      <x:c r="S382" s="59" t="str"/>
    </x:row>
    <x:row r="383" ht="15" hidden="0" customHeight="1">
      <x:c r="A383" s="46" t="str">
        <x:v>CONGESTED_OPEN2_R1</x:v>
      </x:c>
      <x:c r="B383" s="47" t="str">
        <x:v>혼잡 유도</x:v>
      </x:c>
      <x:c r="C383" s="47" t="str">
        <x:v>오픈열람실</x:v>
      </x:c>
      <x:c r="D383" s="47" t="str">
        <x:v>오픈열람실2 AP</x:v>
      </x:c>
      <x:c r="E383" s="47" t="str">
        <x:v>고정</x:v>
      </x:c>
      <x:c r="F383" s="48"/>
      <x:c r="G383" s="48" t="n">
        <x:v>1</x:v>
      </x:c>
      <x:c r="H383" s="48" t="n">
        <x:v>63</x:v>
      </x:c>
      <x:c r="I383" s="49" t="n">
        <x:v>-55</x:v>
      </x:c>
      <x:c r="J383" s="49" t="n">
        <x:v>1201</x:v>
      </x:c>
      <x:c r="K383" s="49" t="n">
        <x:v>82</x:v>
      </x:c>
      <x:c r="L383" s="49" t="n">
        <x:v>19</x:v>
      </x:c>
      <x:c r="M383" s="49" t="n">
        <x:v>0</x:v>
      </x:c>
      <x:c r="N383" s="49" t="n">
        <x:v>58.8988</x:v>
      </x:c>
      <x:c r="O383" s="49" t="n">
        <x:v>6.2949</x:v>
      </x:c>
      <x:c r="P383" s="49" t="n">
        <x:f>IF(OR(N383="",O383=""),"",2*N383*O383/(N383+O383))</x:f>
        <x:v>11.374168243864053</x:v>
      </x:c>
      <x:c r="Q383" s="58" t="str">
        <x:v>오픈열람실에서_오픈열람실2_터트리기_1.jpg; 오픈열람실에서_오픈열람실2_터트리기_2.jpg</x:v>
      </x:c>
      <x:c r="R383" s="58" t="str">
        <x:v>기존 Excel 대응</x:v>
      </x:c>
      <x:c r="S383" s="59" t="str"/>
    </x:row>
    <x:row r="384" ht="15" hidden="0" customHeight="1">
      <x:c r="A384" s="46" t="str">
        <x:v>CONGESTED_OPEN2_R1</x:v>
      </x:c>
      <x:c r="B384" s="47" t="str">
        <x:v>혼잡 유도</x:v>
      </x:c>
      <x:c r="C384" s="47" t="str">
        <x:v>오픈열람실</x:v>
      </x:c>
      <x:c r="D384" s="47" t="str">
        <x:v>오픈열람실2 AP</x:v>
      </x:c>
      <x:c r="E384" s="47" t="str">
        <x:v>고정</x:v>
      </x:c>
      <x:c r="F384" s="48"/>
      <x:c r="G384" s="48" t="n">
        <x:v>1</x:v>
      </x:c>
      <x:c r="H384" s="48" t="n">
        <x:v>64</x:v>
      </x:c>
      <x:c r="I384" s="49" t="n">
        <x:v>-54</x:v>
      </x:c>
      <x:c r="J384" s="49" t="n">
        <x:v>1201</x:v>
      </x:c>
      <x:c r="K384" s="49" t="n">
        <x:v>66</x:v>
      </x:c>
      <x:c r="L384" s="49" t="n">
        <x:v>16</x:v>
      </x:c>
      <x:c r="M384" s="49" t="n">
        <x:v>0</x:v>
      </x:c>
      <x:c r="N384" s="49" t="n">
        <x:v>35.4914</x:v>
      </x:c>
      <x:c r="O384" s="49" t="n">
        <x:v>8.9771</x:v>
      </x:c>
      <x:c r="P384" s="49" t="n">
        <x:f>IF(OR(N384="",O384=""),"",2*N384*O384/(N384+O384))</x:f>
        <x:v>14.329687169119715</x:v>
      </x:c>
      <x:c r="Q384" s="58" t="str">
        <x:v>오픈열람실에서_오픈열람실2_터트리기_1.jpg; 오픈열람실에서_오픈열람실2_터트리기_2.jpg</x:v>
      </x:c>
      <x:c r="R384" s="58" t="str">
        <x:v>기존 Excel 대응</x:v>
      </x:c>
      <x:c r="S384" s="59" t="str"/>
    </x:row>
    <x:row r="385" ht="15" hidden="0" customHeight="1">
      <x:c r="A385" s="46" t="str">
        <x:v>CONGESTED_OPEN2_R1</x:v>
      </x:c>
      <x:c r="B385" s="47" t="str">
        <x:v>혼잡 유도</x:v>
      </x:c>
      <x:c r="C385" s="47" t="str">
        <x:v>오픈열람실</x:v>
      </x:c>
      <x:c r="D385" s="47" t="str">
        <x:v>오픈열람실2 AP</x:v>
      </x:c>
      <x:c r="E385" s="47" t="str">
        <x:v>고정</x:v>
      </x:c>
      <x:c r="F385" s="48"/>
      <x:c r="G385" s="48" t="n">
        <x:v>1</x:v>
      </x:c>
      <x:c r="H385" s="48" t="n">
        <x:v>65</x:v>
      </x:c>
      <x:c r="I385" s="49" t="n">
        <x:v>-52</x:v>
      </x:c>
      <x:c r="J385" s="49" t="n">
        <x:v>1201</x:v>
      </x:c>
      <x:c r="K385" s="49" t="n">
        <x:v>81</x:v>
      </x:c>
      <x:c r="L385" s="49" t="n">
        <x:v>14</x:v>
      </x:c>
      <x:c r="M385" s="49" t="n">
        <x:v>0</x:v>
      </x:c>
      <x:c r="N385" s="49" t="n">
        <x:v>70.6027</x:v>
      </x:c>
      <x:c r="O385" s="49" t="n">
        <x:v>27.0952</x:v>
      </x:c>
      <x:c r="P385" s="49" t="n">
        <x:f>IF(OR(N385="",O385=""),"",2*N385*O385/(N385+O385))</x:f>
        <x:v>39.16142060453704</x:v>
      </x:c>
      <x:c r="Q385" s="58" t="str">
        <x:v>오픈열람실에서_오픈열람실2_터트리기_1.jpg; 오픈열람실에서_오픈열람실2_터트리기_2.jpg</x:v>
      </x:c>
      <x:c r="R385" s="58" t="str">
        <x:v>기존 Excel 대응</x:v>
      </x:c>
      <x:c r="S385" s="59" t="str"/>
    </x:row>
    <x:row r="386" ht="15" hidden="0" customHeight="1">
      <x:c r="A386" s="46" t="str">
        <x:v>CONGESTED_OPEN2_R2</x:v>
      </x:c>
      <x:c r="B386" s="47" t="str">
        <x:v>혼잡 유도</x:v>
      </x:c>
      <x:c r="C386" s="47" t="str">
        <x:v>오픈열람실</x:v>
      </x:c>
      <x:c r="D386" s="47" t="str">
        <x:v>오픈열람실2 AP</x:v>
      </x:c>
      <x:c r="E386" s="47" t="str">
        <x:v>고정</x:v>
      </x:c>
      <x:c r="F386" s="48"/>
      <x:c r="G386" s="48" t="n">
        <x:v>2</x:v>
      </x:c>
      <x:c r="H386" s="48" t="n">
        <x:v>1</x:v>
      </x:c>
      <x:c r="I386" s="49" t="n">
        <x:v>-53</x:v>
      </x:c>
      <x:c r="J386" s="49" t="n">
        <x:v>1201</x:v>
      </x:c>
      <x:c r="K386" s="49" t="n">
        <x:v>87</x:v>
      </x:c>
      <x:c r="L386" s="49" t="n">
        <x:v>12</x:v>
      </x:c>
      <x:c r="M386" s="49" t="n">
        <x:v>0</x:v>
      </x:c>
      <x:c r="N386" s="49" t="n">
        <x:v>86.7459</x:v>
      </x:c>
      <x:c r="O386" s="49" t="n">
        <x:v>46.3055</x:v>
      </x:c>
      <x:c r="P386" s="49" t="n">
        <x:f>IF(OR(N386="",O386=""),"",2*N386*O386/(N386+O386))</x:f>
        <x:v>60.379857295000285</x:v>
      </x:c>
      <x:c r="Q386" s="58" t="str">
        <x:v>오픈열람실에서_오픈열람실2_터트리기_3.jpg</x:v>
      </x:c>
      <x:c r="R386" s="58" t="str">
        <x:v>이미지 판독</x:v>
      </x:c>
      <x:c r="S386" s="59" t="str">
        <x:v>이미지 판독값—원본 대조 권장</x:v>
      </x:c>
    </x:row>
    <x:row r="387" ht="15" hidden="0" customHeight="1">
      <x:c r="A387" s="46" t="str">
        <x:v>CONGESTED_OPEN2_R2</x:v>
      </x:c>
      <x:c r="B387" s="47" t="str">
        <x:v>혼잡 유도</x:v>
      </x:c>
      <x:c r="C387" s="47" t="str">
        <x:v>오픈열람실</x:v>
      </x:c>
      <x:c r="D387" s="47" t="str">
        <x:v>오픈열람실2 AP</x:v>
      </x:c>
      <x:c r="E387" s="47" t="str">
        <x:v>고정</x:v>
      </x:c>
      <x:c r="F387" s="48"/>
      <x:c r="G387" s="48" t="n">
        <x:v>2</x:v>
      </x:c>
      <x:c r="H387" s="48" t="n">
        <x:v>2</x:v>
      </x:c>
      <x:c r="I387" s="49" t="n">
        <x:v>-52</x:v>
      </x:c>
      <x:c r="J387" s="49" t="n">
        <x:v>1201</x:v>
      </x:c>
      <x:c r="K387" s="49" t="n">
        <x:v>69</x:v>
      </x:c>
      <x:c r="L387" s="49" t="n">
        <x:v>12</x:v>
      </x:c>
      <x:c r="M387" s="49" t="n">
        <x:v>0</x:v>
      </x:c>
      <x:c r="N387" s="49" t="n">
        <x:v>44.6121</x:v>
      </x:c>
      <x:c r="O387" s="49" t="n">
        <x:v>66.2091</x:v>
      </x:c>
      <x:c r="P387" s="49" t="n">
        <x:f>IF(OR(N387="",O387=""),"",2*N387*O387/(N387+O387))</x:f>
        <x:v>53.30617228671049</x:v>
      </x:c>
      <x:c r="Q387" s="58" t="str">
        <x:v>오픈열람실에서_오픈열람실2_터트리기_3.jpg</x:v>
      </x:c>
      <x:c r="R387" s="58" t="str">
        <x:v>이미지 판독</x:v>
      </x:c>
      <x:c r="S387" s="59" t="str">
        <x:v>이미지 판독값—원본 대조 권장</x:v>
      </x:c>
    </x:row>
    <x:row r="388" ht="15" hidden="0" customHeight="1">
      <x:c r="A388" s="46" t="str">
        <x:v>CONGESTED_OPEN2_R2</x:v>
      </x:c>
      <x:c r="B388" s="47" t="str">
        <x:v>혼잡 유도</x:v>
      </x:c>
      <x:c r="C388" s="47" t="str">
        <x:v>오픈열람실</x:v>
      </x:c>
      <x:c r="D388" s="47" t="str">
        <x:v>오픈열람실2 AP</x:v>
      </x:c>
      <x:c r="E388" s="47" t="str">
        <x:v>고정</x:v>
      </x:c>
      <x:c r="F388" s="48"/>
      <x:c r="G388" s="48" t="n">
        <x:v>2</x:v>
      </x:c>
      <x:c r="H388" s="48" t="n">
        <x:v>3</x:v>
      </x:c>
      <x:c r="I388" s="49" t="n">
        <x:v>-55</x:v>
      </x:c>
      <x:c r="J388" s="49" t="n">
        <x:v>1201</x:v>
      </x:c>
      <x:c r="K388" s="49" t="n">
        <x:v>38</x:v>
      </x:c>
      <x:c r="L388" s="49" t="n">
        <x:v>13</x:v>
      </x:c>
      <x:c r="M388" s="49" t="n">
        <x:v>0</x:v>
      </x:c>
      <x:c r="N388" s="49" t="n">
        <x:v>80.7254</x:v>
      </x:c>
      <x:c r="O388" s="49" t="n">
        <x:v>62.4138</x:v>
      </x:c>
      <x:c r="P388" s="49" t="n">
        <x:f>IF(OR(N388="",O388=""),"",2*N388*O388/(N388+O388))</x:f>
        <x:v>70.39831116172229</x:v>
      </x:c>
      <x:c r="Q388" s="58" t="str">
        <x:v>오픈열람실에서_오픈열람실2_터트리기_3.jpg</x:v>
      </x:c>
      <x:c r="R388" s="58" t="str">
        <x:v>이미지 판독</x:v>
      </x:c>
      <x:c r="S388" s="59" t="str">
        <x:v>이미지 판독값—원본 대조 권장</x:v>
      </x:c>
    </x:row>
    <x:row r="389" ht="15" hidden="0" customHeight="1">
      <x:c r="A389" s="46" t="str">
        <x:v>CONGESTED_OPEN2_R2</x:v>
      </x:c>
      <x:c r="B389" s="47" t="str">
        <x:v>혼잡 유도</x:v>
      </x:c>
      <x:c r="C389" s="47" t="str">
        <x:v>오픈열람실</x:v>
      </x:c>
      <x:c r="D389" s="47" t="str">
        <x:v>오픈열람실2 AP</x:v>
      </x:c>
      <x:c r="E389" s="47" t="str">
        <x:v>고정</x:v>
      </x:c>
      <x:c r="F389" s="48"/>
      <x:c r="G389" s="48" t="n">
        <x:v>2</x:v>
      </x:c>
      <x:c r="H389" s="48" t="n">
        <x:v>4</x:v>
      </x:c>
      <x:c r="I389" s="49" t="n">
        <x:v>-53</x:v>
      </x:c>
      <x:c r="J389" s="49" t="n">
        <x:v>1201</x:v>
      </x:c>
      <x:c r="K389" s="49" t="n">
        <x:v>76</x:v>
      </x:c>
      <x:c r="L389" s="49" t="n">
        <x:v>10</x:v>
      </x:c>
      <x:c r="M389" s="49" t="n">
        <x:v>0</x:v>
      </x:c>
      <x:c r="N389" s="49" t="n">
        <x:v>36.9471</x:v>
      </x:c>
      <x:c r="O389" s="49" t="n">
        <x:v>30.6617</x:v>
      </x:c>
      <x:c r="P389" s="49" t="n">
        <x:f>IF(OR(N389="",O389=""),"",2*N389*O389/(N389+O389))</x:f>
        <x:v>33.512232019204596</x:v>
      </x:c>
      <x:c r="Q389" s="58" t="str">
        <x:v>오픈열람실에서_오픈열람실2_터트리기_3.jpg</x:v>
      </x:c>
      <x:c r="R389" s="58" t="str">
        <x:v>이미지 판독</x:v>
      </x:c>
      <x:c r="S389" s="59" t="str">
        <x:v>이미지 판독값—원본 대조 권장</x:v>
      </x:c>
    </x:row>
    <x:row r="390" ht="15" hidden="0" customHeight="1">
      <x:c r="A390" s="46" t="str">
        <x:v>CONGESTED_OPEN2_R2</x:v>
      </x:c>
      <x:c r="B390" s="47" t="str">
        <x:v>혼잡 유도</x:v>
      </x:c>
      <x:c r="C390" s="47" t="str">
        <x:v>오픈열람실</x:v>
      </x:c>
      <x:c r="D390" s="47" t="str">
        <x:v>오픈열람실2 AP</x:v>
      </x:c>
      <x:c r="E390" s="47" t="str">
        <x:v>고정</x:v>
      </x:c>
      <x:c r="F390" s="48"/>
      <x:c r="G390" s="48" t="n">
        <x:v>2</x:v>
      </x:c>
      <x:c r="H390" s="48" t="n">
        <x:v>5</x:v>
      </x:c>
      <x:c r="I390" s="49" t="n">
        <x:v>-51</x:v>
      </x:c>
      <x:c r="J390" s="49" t="n">
        <x:v>1201</x:v>
      </x:c>
      <x:c r="K390" s="49" t="n">
        <x:v>46</x:v>
      </x:c>
      <x:c r="L390" s="49" t="n">
        <x:v>7</x:v>
      </x:c>
      <x:c r="M390" s="49" t="n">
        <x:v>0</x:v>
      </x:c>
      <x:c r="N390" s="49" t="n">
        <x:v>60.4987</x:v>
      </x:c>
      <x:c r="O390" s="49" t="n">
        <x:v>53.786</x:v>
      </x:c>
      <x:c r="P390" s="49" t="n">
        <x:f>IF(OR(N390="",O390=""),"",2*N390*O390/(N390+O390))</x:f>
        <x:v>56.94520925723216</x:v>
      </x:c>
      <x:c r="Q390" s="58" t="str">
        <x:v>오픈열람실에서_오픈열람실2_터트리기_3.jpg</x:v>
      </x:c>
      <x:c r="R390" s="58" t="str">
        <x:v>이미지 판독</x:v>
      </x:c>
      <x:c r="S390" s="59" t="str">
        <x:v>이미지 판독값—원본 대조 권장</x:v>
      </x:c>
    </x:row>
    <x:row r="391" ht="15" hidden="0" customHeight="1">
      <x:c r="A391" s="46" t="str">
        <x:v>CONGESTED_OPEN2_R2</x:v>
      </x:c>
      <x:c r="B391" s="47" t="str">
        <x:v>혼잡 유도</x:v>
      </x:c>
      <x:c r="C391" s="47" t="str">
        <x:v>오픈열람실</x:v>
      </x:c>
      <x:c r="D391" s="47" t="str">
        <x:v>오픈열람실2 AP</x:v>
      </x:c>
      <x:c r="E391" s="47" t="str">
        <x:v>고정</x:v>
      </x:c>
      <x:c r="F391" s="48"/>
      <x:c r="G391" s="48" t="n">
        <x:v>2</x:v>
      </x:c>
      <x:c r="H391" s="48" t="n">
        <x:v>6</x:v>
      </x:c>
      <x:c r="I391" s="49" t="n">
        <x:v>-49</x:v>
      </x:c>
      <x:c r="J391" s="49" t="n">
        <x:v>1201</x:v>
      </x:c>
      <x:c r="K391" s="49" t="n">
        <x:v>55</x:v>
      </x:c>
      <x:c r="L391" s="49" t="n">
        <x:v>11</x:v>
      </x:c>
      <x:c r="M391" s="49" t="n">
        <x:v>0</x:v>
      </x:c>
      <x:c r="N391" s="49" t="n">
        <x:v>66.2487</x:v>
      </x:c>
      <x:c r="O391" s="49" t="n">
        <x:v>59.7516</x:v>
      </x:c>
      <x:c r="P391" s="49" t="n">
        <x:f>IF(OR(N391="",O391=""),"",2*N391*O391/(N391+O391))</x:f>
        <x:v>62.832641238473244</x:v>
      </x:c>
      <x:c r="Q391" s="58" t="str">
        <x:v>오픈열람실에서_오픈열람실2_터트리기_3.jpg</x:v>
      </x:c>
      <x:c r="R391" s="58" t="str">
        <x:v>이미지 판독</x:v>
      </x:c>
      <x:c r="S391" s="59" t="str">
        <x:v>이미지 판독값—원본 대조 권장</x:v>
      </x:c>
    </x:row>
    <x:row r="392" ht="15" hidden="0" customHeight="1">
      <x:c r="A392" s="46" t="str">
        <x:v>CONGESTED_OPEN2_R2</x:v>
      </x:c>
      <x:c r="B392" s="47" t="str">
        <x:v>혼잡 유도</x:v>
      </x:c>
      <x:c r="C392" s="47" t="str">
        <x:v>오픈열람실</x:v>
      </x:c>
      <x:c r="D392" s="47" t="str">
        <x:v>오픈열람실2 AP</x:v>
      </x:c>
      <x:c r="E392" s="47" t="str">
        <x:v>고정</x:v>
      </x:c>
      <x:c r="F392" s="48"/>
      <x:c r="G392" s="48" t="n">
        <x:v>2</x:v>
      </x:c>
      <x:c r="H392" s="48" t="n">
        <x:v>7</x:v>
      </x:c>
      <x:c r="I392" s="49" t="n">
        <x:v>-51</x:v>
      </x:c>
      <x:c r="J392" s="49" t="n">
        <x:v>1201</x:v>
      </x:c>
      <x:c r="K392" s="49" t="n">
        <x:v>39</x:v>
      </x:c>
      <x:c r="L392" s="49" t="n">
        <x:v>20</x:v>
      </x:c>
      <x:c r="M392" s="49" t="n">
        <x:v>0</x:v>
      </x:c>
      <x:c r="N392" s="49" t="n">
        <x:v>61.9016</x:v>
      </x:c>
      <x:c r="O392" s="49" t="n">
        <x:v>48.1434</x:v>
      </x:c>
      <x:c r="P392" s="49" t="n">
        <x:f>IF(OR(N392="",O392=""),"",2*N392*O392/(N392+O392))</x:f>
        <x:v>54.16245153237312</x:v>
      </x:c>
      <x:c r="Q392" s="58" t="str">
        <x:v>오픈열람실에서_오픈열람실2_터트리기_3.jpg</x:v>
      </x:c>
      <x:c r="R392" s="58" t="str">
        <x:v>이미지 판독</x:v>
      </x:c>
      <x:c r="S392" s="59" t="str">
        <x:v>이미지 판독값—원본 대조 권장</x:v>
      </x:c>
    </x:row>
    <x:row r="393" ht="15" hidden="0" customHeight="1">
      <x:c r="A393" s="46" t="str">
        <x:v>CONGESTED_OPEN2_R2</x:v>
      </x:c>
      <x:c r="B393" s="47" t="str">
        <x:v>혼잡 유도</x:v>
      </x:c>
      <x:c r="C393" s="47" t="str">
        <x:v>오픈열람실</x:v>
      </x:c>
      <x:c r="D393" s="47" t="str">
        <x:v>오픈열람실2 AP</x:v>
      </x:c>
      <x:c r="E393" s="47" t="str">
        <x:v>고정</x:v>
      </x:c>
      <x:c r="F393" s="48"/>
      <x:c r="G393" s="48" t="n">
        <x:v>2</x:v>
      </x:c>
      <x:c r="H393" s="48" t="n">
        <x:v>8</x:v>
      </x:c>
      <x:c r="I393" s="49" t="n">
        <x:v>-53</x:v>
      </x:c>
      <x:c r="J393" s="49" t="n">
        <x:v>1201</x:v>
      </x:c>
      <x:c r="K393" s="49" t="n">
        <x:v>75</x:v>
      </x:c>
      <x:c r="L393" s="49" t="n">
        <x:v>7</x:v>
      </x:c>
      <x:c r="M393" s="49" t="n">
        <x:v>0</x:v>
      </x:c>
      <x:c r="N393" s="49" t="n">
        <x:v>64.4502</x:v>
      </x:c>
      <x:c r="O393" s="49" t="n">
        <x:v>72.4392</x:v>
      </x:c>
      <x:c r="P393" s="49" t="n">
        <x:f>IF(OR(N393="",O393=""),"",2*N393*O393/(N393+O393))</x:f>
        <x:v>68.21157705183893</x:v>
      </x:c>
      <x:c r="Q393" s="58" t="str">
        <x:v>오픈열람실에서_오픈열람실2_터트리기_3.jpg</x:v>
      </x:c>
      <x:c r="R393" s="58" t="str">
        <x:v>이미지 판독</x:v>
      </x:c>
      <x:c r="S393" s="59" t="str">
        <x:v>이미지 판독값—원본 대조 권장</x:v>
      </x:c>
    </x:row>
    <x:row r="394" ht="15" hidden="0" customHeight="1">
      <x:c r="A394" s="46" t="str">
        <x:v>CONGESTED_OPEN2_R2</x:v>
      </x:c>
      <x:c r="B394" s="47" t="str">
        <x:v>혼잡 유도</x:v>
      </x:c>
      <x:c r="C394" s="47" t="str">
        <x:v>오픈열람실</x:v>
      </x:c>
      <x:c r="D394" s="47" t="str">
        <x:v>오픈열람실2 AP</x:v>
      </x:c>
      <x:c r="E394" s="47" t="str">
        <x:v>고정</x:v>
      </x:c>
      <x:c r="F394" s="48"/>
      <x:c r="G394" s="48" t="n">
        <x:v>2</x:v>
      </x:c>
      <x:c r="H394" s="48" t="n">
        <x:v>9</x:v>
      </x:c>
      <x:c r="I394" s="49" t="n">
        <x:v>-54</x:v>
      </x:c>
      <x:c r="J394" s="49" t="n">
        <x:v>1201</x:v>
      </x:c>
      <x:c r="K394" s="49" t="n">
        <x:v>37</x:v>
      </x:c>
      <x:c r="L394" s="49" t="n">
        <x:v>11</x:v>
      </x:c>
      <x:c r="M394" s="49" t="n">
        <x:v>0</x:v>
      </x:c>
      <x:c r="N394" s="49" t="n">
        <x:v>76.5246</x:v>
      </x:c>
      <x:c r="O394" s="49" t="n">
        <x:v>60.719</x:v>
      </x:c>
      <x:c r="P394" s="49" t="n">
        <x:f>IF(OR(N394="",O394=""),"",2*N394*O394/(N394+O394))</x:f>
        <x:v>67.71167744652574</x:v>
      </x:c>
      <x:c r="Q394" s="58" t="str">
        <x:v>오픈열람실에서_오픈열람실2_터트리기_3.jpg</x:v>
      </x:c>
      <x:c r="R394" s="58" t="str">
        <x:v>이미지 판독</x:v>
      </x:c>
      <x:c r="S394" s="59" t="str">
        <x:v>이미지 판독값—원본 대조 권장</x:v>
      </x:c>
    </x:row>
    <x:row r="395" ht="15" hidden="0" customHeight="1">
      <x:c r="A395" s="46" t="str">
        <x:v>CONGESTED_OPEN2_R2</x:v>
      </x:c>
      <x:c r="B395" s="47" t="str">
        <x:v>혼잡 유도</x:v>
      </x:c>
      <x:c r="C395" s="47" t="str">
        <x:v>오픈열람실</x:v>
      </x:c>
      <x:c r="D395" s="47" t="str">
        <x:v>오픈열람실2 AP</x:v>
      </x:c>
      <x:c r="E395" s="47" t="str">
        <x:v>고정</x:v>
      </x:c>
      <x:c r="F395" s="48"/>
      <x:c r="G395" s="48" t="n">
        <x:v>2</x:v>
      </x:c>
      <x:c r="H395" s="48" t="n">
        <x:v>10</x:v>
      </x:c>
      <x:c r="I395" s="49" t="n">
        <x:v>-56</x:v>
      </x:c>
      <x:c r="J395" s="49" t="n">
        <x:v>1201</x:v>
      </x:c>
      <x:c r="K395" s="49" t="n">
        <x:v>42</x:v>
      </x:c>
      <x:c r="L395" s="49" t="n">
        <x:v>7</x:v>
      </x:c>
      <x:c r="M395" s="49" t="n">
        <x:v>0</x:v>
      </x:c>
      <x:c r="N395" s="49" t="n">
        <x:v>50.4869</x:v>
      </x:c>
      <x:c r="O395" s="49" t="n">
        <x:v>40.4844</x:v>
      </x:c>
      <x:c r="P395" s="49" t="n">
        <x:f>IF(OR(N395="",O395=""),"",2*N395*O395/(N395+O395))</x:f>
        <x:v>44.93575126133187</x:v>
      </x:c>
      <x:c r="Q395" s="58" t="str">
        <x:v>오픈열람실에서_오픈열람실2_터트리기_3.jpg</x:v>
      </x:c>
      <x:c r="R395" s="58" t="str">
        <x:v>이미지 판독</x:v>
      </x:c>
      <x:c r="S395" s="59" t="str">
        <x:v>이미지 판독값—원본 대조 권장</x:v>
      </x:c>
    </x:row>
    <x:row r="396" ht="15" hidden="0" customHeight="1">
      <x:c r="A396" s="46" t="str">
        <x:v>CONGESTED_OPEN2_R2</x:v>
      </x:c>
      <x:c r="B396" s="47" t="str">
        <x:v>혼잡 유도</x:v>
      </x:c>
      <x:c r="C396" s="47" t="str">
        <x:v>오픈열람실</x:v>
      </x:c>
      <x:c r="D396" s="47" t="str">
        <x:v>오픈열람실2 AP</x:v>
      </x:c>
      <x:c r="E396" s="47" t="str">
        <x:v>고정</x:v>
      </x:c>
      <x:c r="F396" s="48"/>
      <x:c r="G396" s="48" t="n">
        <x:v>2</x:v>
      </x:c>
      <x:c r="H396" s="48" t="n">
        <x:v>11</x:v>
      </x:c>
      <x:c r="I396" s="49" t="n">
        <x:v>-49</x:v>
      </x:c>
      <x:c r="J396" s="49" t="n">
        <x:v>1201</x:v>
      </x:c>
      <x:c r="K396" s="49" t="n">
        <x:v>58</x:v>
      </x:c>
      <x:c r="L396" s="49" t="n">
        <x:v>11</x:v>
      </x:c>
      <x:c r="M396" s="49" t="n">
        <x:v>0</x:v>
      </x:c>
      <x:c r="N396" s="49" t="n">
        <x:v>55.7771</x:v>
      </x:c>
      <x:c r="O396" s="49" t="n">
        <x:v>39.821</x:v>
      </x:c>
      <x:c r="P396" s="49" t="n">
        <x:f>IF(OR(N396="",O396=""),"",2*N396*O396/(N396+O396))</x:f>
        <x:v>46.46744860201196</x:v>
      </x:c>
      <x:c r="Q396" s="58" t="str">
        <x:v>오픈열람실에서_오픈열람실2_터트리기_3.jpg</x:v>
      </x:c>
      <x:c r="R396" s="58" t="str">
        <x:v>이미지 판독</x:v>
      </x:c>
      <x:c r="S396" s="59" t="str">
        <x:v>이미지 판독값—원본 대조 권장</x:v>
      </x:c>
    </x:row>
    <x:row r="397" ht="15" hidden="0" customHeight="1">
      <x:c r="A397" s="46" t="str">
        <x:v>CONGESTED_OPEN2_R2</x:v>
      </x:c>
      <x:c r="B397" s="47" t="str">
        <x:v>혼잡 유도</x:v>
      </x:c>
      <x:c r="C397" s="47" t="str">
        <x:v>오픈열람실</x:v>
      </x:c>
      <x:c r="D397" s="47" t="str">
        <x:v>오픈열람실2 AP</x:v>
      </x:c>
      <x:c r="E397" s="47" t="str">
        <x:v>고정</x:v>
      </x:c>
      <x:c r="F397" s="48"/>
      <x:c r="G397" s="48" t="n">
        <x:v>2</x:v>
      </x:c>
      <x:c r="H397" s="48" t="n">
        <x:v>12</x:v>
      </x:c>
      <x:c r="I397" s="49" t="n">
        <x:v>-52</x:v>
      </x:c>
      <x:c r="J397" s="49" t="n">
        <x:v>1201</x:v>
      </x:c>
      <x:c r="K397" s="49" t="n">
        <x:v>62</x:v>
      </x:c>
      <x:c r="L397" s="49" t="n">
        <x:v>5</x:v>
      </x:c>
      <x:c r="M397" s="49" t="n">
        <x:v>0</x:v>
      </x:c>
      <x:c r="N397" s="49" t="n">
        <x:v>26.2776</x:v>
      </x:c>
      <x:c r="O397" s="49" t="n">
        <x:v>28.9078</x:v>
      </x:c>
      <x:c r="P397" s="49" t="n">
        <x:f>IF(OR(N397="",O397=""),"",2*N397*O397/(N397+O397))</x:f>
        <x:v>27.5300208127512</x:v>
      </x:c>
      <x:c r="Q397" s="58" t="str">
        <x:v>오픈열람실에서_오픈열람실2_터트리기_3.jpg</x:v>
      </x:c>
      <x:c r="R397" s="58" t="str">
        <x:v>이미지 판독</x:v>
      </x:c>
      <x:c r="S397" s="59" t="str">
        <x:v>이미지 판독값—원본 대조 권장</x:v>
      </x:c>
    </x:row>
    <x:row r="398" ht="15" hidden="0" customHeight="1">
      <x:c r="A398" s="46" t="str">
        <x:v>CONGESTED_OPEN2_R2</x:v>
      </x:c>
      <x:c r="B398" s="47" t="str">
        <x:v>혼잡 유도</x:v>
      </x:c>
      <x:c r="C398" s="47" t="str">
        <x:v>오픈열람실</x:v>
      </x:c>
      <x:c r="D398" s="47" t="str">
        <x:v>오픈열람실2 AP</x:v>
      </x:c>
      <x:c r="E398" s="47" t="str">
        <x:v>고정</x:v>
      </x:c>
      <x:c r="F398" s="48"/>
      <x:c r="G398" s="48" t="n">
        <x:v>2</x:v>
      </x:c>
      <x:c r="H398" s="48" t="n">
        <x:v>13</x:v>
      </x:c>
      <x:c r="I398" s="49" t="n">
        <x:v>-50</x:v>
      </x:c>
      <x:c r="J398" s="49" t="n">
        <x:v>1201</x:v>
      </x:c>
      <x:c r="K398" s="49" t="n">
        <x:v>31</x:v>
      </x:c>
      <x:c r="L398" s="49" t="n">
        <x:v>7</x:v>
      </x:c>
      <x:c r="M398" s="49" t="n">
        <x:v>0</x:v>
      </x:c>
      <x:c r="N398" s="49" t="n">
        <x:v>64.7641</x:v>
      </x:c>
      <x:c r="O398" s="49" t="n">
        <x:v>61.9575</x:v>
      </x:c>
      <x:c r="P398" s="49" t="n">
        <x:f>IF(OR(N398="",O398=""),"",2*N398*O398/(N398+O398))</x:f>
        <x:v>63.329720043781016</x:v>
      </x:c>
      <x:c r="Q398" s="58" t="str">
        <x:v>오픈열람실에서_오픈열람실2_터트리기_3.jpg</x:v>
      </x:c>
      <x:c r="R398" s="58" t="str">
        <x:v>이미지 판독</x:v>
      </x:c>
      <x:c r="S398" s="59" t="str">
        <x:v>이미지 판독값—원본 대조 권장</x:v>
      </x:c>
    </x:row>
    <x:row r="399" ht="15" hidden="0" customHeight="1">
      <x:c r="A399" s="46" t="str">
        <x:v>CONGESTED_OPEN2_R2</x:v>
      </x:c>
      <x:c r="B399" s="47" t="str">
        <x:v>혼잡 유도</x:v>
      </x:c>
      <x:c r="C399" s="47" t="str">
        <x:v>오픈열람실</x:v>
      </x:c>
      <x:c r="D399" s="47" t="str">
        <x:v>오픈열람실2 AP</x:v>
      </x:c>
      <x:c r="E399" s="47" t="str">
        <x:v>고정</x:v>
      </x:c>
      <x:c r="F399" s="48"/>
      <x:c r="G399" s="48" t="n">
        <x:v>2</x:v>
      </x:c>
      <x:c r="H399" s="48" t="n">
        <x:v>14</x:v>
      </x:c>
      <x:c r="I399" s="49" t="n">
        <x:v>-50</x:v>
      </x:c>
      <x:c r="J399" s="49" t="n">
        <x:v>1201</x:v>
      </x:c>
      <x:c r="K399" s="49" t="n">
        <x:v>45</x:v>
      </x:c>
      <x:c r="L399" s="49" t="n">
        <x:v>7</x:v>
      </x:c>
      <x:c r="M399" s="49" t="n">
        <x:v>0</x:v>
      </x:c>
      <x:c r="N399" s="49" t="n">
        <x:v>10.156</x:v>
      </x:c>
      <x:c r="O399" s="49" t="n">
        <x:v>37.7142</x:v>
      </x:c>
      <x:c r="P399" s="49" t="n">
        <x:f>IF(OR(N399="",O399=""),"",2*N399*O399/(N399+O399))</x:f>
        <x:v>16.002666176452156</x:v>
      </x:c>
      <x:c r="Q399" s="58" t="str">
        <x:v>오픈열람실에서_오픈열람실2_터트리기_3.jpg</x:v>
      </x:c>
      <x:c r="R399" s="58" t="str">
        <x:v>이미지 판독</x:v>
      </x:c>
      <x:c r="S399" s="59" t="str">
        <x:v>이미지 판독값—원본 대조 권장</x:v>
      </x:c>
    </x:row>
    <x:row r="400" ht="15" hidden="0" customHeight="1">
      <x:c r="A400" s="46" t="str">
        <x:v>CONGESTED_OPEN2_R2</x:v>
      </x:c>
      <x:c r="B400" s="47" t="str">
        <x:v>혼잡 유도</x:v>
      </x:c>
      <x:c r="C400" s="47" t="str">
        <x:v>오픈열람실</x:v>
      </x:c>
      <x:c r="D400" s="47" t="str">
        <x:v>오픈열람실2 AP</x:v>
      </x:c>
      <x:c r="E400" s="47" t="str">
        <x:v>고정</x:v>
      </x:c>
      <x:c r="F400" s="48"/>
      <x:c r="G400" s="48" t="n">
        <x:v>2</x:v>
      </x:c>
      <x:c r="H400" s="48" t="n">
        <x:v>15</x:v>
      </x:c>
      <x:c r="I400" s="49" t="n">
        <x:v>-49</x:v>
      </x:c>
      <x:c r="J400" s="49" t="n">
        <x:v>1201</x:v>
      </x:c>
      <x:c r="K400" s="49" t="n">
        <x:v>64</x:v>
      </x:c>
      <x:c r="L400" s="49" t="n">
        <x:v>8</x:v>
      </x:c>
      <x:c r="M400" s="49" t="n">
        <x:v>0</x:v>
      </x:c>
      <x:c r="N400" s="49" t="n">
        <x:v>68.9829</x:v>
      </x:c>
      <x:c r="O400" s="49" t="n">
        <x:v>59.4875</x:v>
      </x:c>
      <x:c r="P400" s="49" t="n">
        <x:f>IF(OR(N400="",O400=""),"",2*N400*O400/(N400+O400))</x:f>
        <x:v>63.88429184855033</x:v>
      </x:c>
      <x:c r="Q400" s="58" t="str">
        <x:v>오픈열람실에서_오픈열람실2_터트리기_3.jpg</x:v>
      </x:c>
      <x:c r="R400" s="58" t="str">
        <x:v>이미지 판독</x:v>
      </x:c>
      <x:c r="S400" s="59" t="str">
        <x:v>이미지 판독값—원본 대조 권장</x:v>
      </x:c>
    </x:row>
    <x:row r="401" ht="15" hidden="0" customHeight="1">
      <x:c r="A401" s="51" t="str">
        <x:v>CONGESTED_OPEN2_R2</x:v>
      </x:c>
      <x:c r="B401" s="52" t="str">
        <x:v>혼잡 유도</x:v>
      </x:c>
      <x:c r="C401" s="52" t="str">
        <x:v>오픈열람실</x:v>
      </x:c>
      <x:c r="D401" s="52" t="str">
        <x:v>오픈열람실2 AP</x:v>
      </x:c>
      <x:c r="E401" s="52" t="str">
        <x:v>고정</x:v>
      </x:c>
      <x:c r="F401" s="53"/>
      <x:c r="G401" s="53" t="n">
        <x:v>2</x:v>
      </x:c>
      <x:c r="H401" s="53" t="n">
        <x:v>16</x:v>
      </x:c>
      <x:c r="I401" s="54" t="n">
        <x:v>-50</x:v>
      </x:c>
      <x:c r="J401" s="54" t="n">
        <x:v>1201</x:v>
      </x:c>
      <x:c r="K401" s="54" t="n">
        <x:v>43</x:v>
      </x:c>
      <x:c r="L401" s="54" t="n">
        <x:v>14</x:v>
      </x:c>
      <x:c r="M401" s="54" t="n">
        <x:v>0</x:v>
      </x:c>
      <x:c r="N401" s="54" t="n">
        <x:v>51.3337</x:v>
      </x:c>
      <x:c r="O401" s="54" t="n">
        <x:v>33.3427</x:v>
      </x:c>
      <x:c r="P401" s="54" t="n">
        <x:f>IF(OR(N401="",O401=""),"",2*N401*O401/(N401+O401))</x:f>
        <x:v>40.42694679958052</x:v>
      </x:c>
      <x:c r="Q401" s="60" t="str">
        <x:v>오픈열람실에서_오픈열람실2_터트리기_3.jpg</x:v>
      </x:c>
      <x:c r="R401" s="60" t="str">
        <x:v>이미지 판독</x:v>
      </x:c>
      <x:c r="S401" s="61" t="str">
        <x:v>이미지 판독값—원본 대조 권장</x:v>
      </x:c>
    </x:row>
  </x:sheetData>
  <x:pageMargins left="0.7" right="0.7" top="0.75" bottom="0.75" header="0.3" footer="0.3"/>
  <x:tableParts count="1">
    <x:tablePart xmlns:r="http://schemas.openxmlformats.org/officeDocument/2006/relationships" r:id="Rb13d791313dc44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26" hidden="0" customWidth="1"/>
    <x:col min="4" max="4" width="30" hidden="0" customWidth="1"/>
    <x:col min="5" max="5" width="12" hidden="0" customWidth="1"/>
    <x:col min="6" max="6" width="12" hidden="0" customWidth="1"/>
    <x:col min="7" max="7" width="9" hidden="0" customWidth="1"/>
    <x:col min="8" max="8" width="14" hidden="0" customWidth="1"/>
    <x:col min="9" max="9" width="12" hidden="0" customWidth="1"/>
    <x:col min="10" max="10" width="12" hidden="0" customWidth="1"/>
    <x:col min="11" max="11" width="13" hidden="0" customWidth="1"/>
    <x:col min="12" max="12" width="12" hidden="0" customWidth="1"/>
    <x:col min="13" max="13" width="18" hidden="0" customWidth="1"/>
    <x:col min="14" max="14" width="14" hidden="0" customWidth="1"/>
    <x:col min="15" max="15" width="16" hidden="0" customWidth="1"/>
    <x:col min="16" max="16" width="17" hidden="0" customWidth="1"/>
    <x:col min="17" max="17" width="42" hidden="0" customWidth="1"/>
    <x:col min="18" max="18" width="22" hidden="0" customWidth="1"/>
    <x:col min="19" max="19" width="34" hidden="0" customWidth="1"/>
  </x:cols>
  <x:sheetData>
    <x:row r="1" ht="15" hidden="0" customHeight="1">
      <x:c r="A1" s="5" t="str">
        <x:v>상황 폴더</x:v>
      </x:c>
      <x:c r="B1" s="5" t="str">
        <x:v>파일명</x:v>
      </x:c>
      <x:c r="C1" s="5" t="str">
        <x:v>연결 측정세트</x:v>
      </x:c>
      <x:c r="D1" s="5" t="str">
        <x:v>처리 방법</x:v>
      </x:c>
    </x:row>
    <x:row r="2" ht="15" hidden="0" customHeight="1">
      <x:c r="A2" s="22" t="str">
        <x:v>일반</x:v>
      </x:c>
      <x:c r="B2" s="22" t="str">
        <x:v>오열에서_자연1_1시간 측정_1.jpg</x:v>
      </x:c>
      <x:c r="C2" s="22" t="str">
        <x:v>NATURAL_1H_R1</x:v>
      </x:c>
      <x:c r="D2" s="22" t="str">
        <x:v>기존 Excel 대응</x:v>
      </x:c>
    </x:row>
    <x:row r="3" ht="15" hidden="0" customHeight="1">
      <x:c r="A3" s="22" t="str">
        <x:v>일반</x:v>
      </x:c>
      <x:c r="B3" s="22" t="str">
        <x:v>오열에서_자연1_1시간 측정_2.jpg</x:v>
      </x:c>
      <x:c r="C3" s="22" t="str">
        <x:v>NATURAL_1H_R1</x:v>
      </x:c>
      <x:c r="D3" s="22" t="str">
        <x:v>기존 Excel 대응</x:v>
      </x:c>
    </x:row>
    <x:row r="4" ht="15" hidden="0" customHeight="1">
      <x:c r="A4" s="22" t="str">
        <x:v>일반</x:v>
      </x:c>
      <x:c r="B4" s="22" t="str">
        <x:v>오열에서_오열2_1시간 측정_1.png</x:v>
      </x:c>
      <x:c r="C4" s="22" t="str">
        <x:v>OPEN2_1H_R1</x:v>
      </x:c>
      <x:c r="D4" s="22" t="str">
        <x:v>기존 Excel 대응</x:v>
      </x:c>
    </x:row>
    <x:row r="5" ht="15" hidden="0" customHeight="1">
      <x:c r="A5" s="22" t="str">
        <x:v>일반</x:v>
      </x:c>
      <x:c r="B5" s="22" t="str">
        <x:v>오열에서_오열2_1시간 측정_2.png</x:v>
      </x:c>
      <x:c r="C5" s="22" t="str">
        <x:v>OPEN2_1H_R1</x:v>
      </x:c>
      <x:c r="D5" s="22" t="str">
        <x:v>기존 Excel 대응</x:v>
      </x:c>
    </x:row>
    <x:row r="6" ht="15" hidden="0" customHeight="1">
      <x:c r="A6" s="22" t="str">
        <x:v>일반</x:v>
      </x:c>
      <x:c r="B6" s="22" t="str">
        <x:v>오열에서_오열2_20분 측정_2.png</x:v>
      </x:c>
      <x:c r="C6" s="22" t="str">
        <x:v>OPEN2_20M_R1</x:v>
      </x:c>
      <x:c r="D6" s="22" t="str">
        <x:v>이미지 판독</x:v>
      </x:c>
    </x:row>
    <x:row r="7" ht="15" hidden="0" customHeight="1">
      <x:c r="A7" s="22" t="str">
        <x:v>일반</x:v>
      </x:c>
      <x:c r="B7" s="22" t="str">
        <x:v>1시간_측정_자유열람실1_오열에서_1.jpg</x:v>
      </x:c>
      <x:c r="C7" s="22" t="str">
        <x:v>FREE1_1H_R1</x:v>
      </x:c>
      <x:c r="D7" s="22" t="str">
        <x:v>기존 Excel 대응</x:v>
      </x:c>
    </x:row>
    <x:row r="8" ht="15" hidden="0" customHeight="1">
      <x:c r="A8" s="22" t="str">
        <x:v>일반</x:v>
      </x:c>
      <x:c r="B8" s="22" t="str">
        <x:v>1시간_측정_자유열람실1_오열에서_2.jpg</x:v>
      </x:c>
      <x:c r="C8" s="22" t="str">
        <x:v>FREE1_1H_R1</x:v>
      </x:c>
      <x:c r="D8" s="22" t="str">
        <x:v>기존 Excel 대응</x:v>
      </x:c>
    </x:row>
    <x:row r="9" ht="15" hidden="0" customHeight="1">
      <x:c r="A9" s="22" t="str">
        <x:v>일반</x:v>
      </x:c>
      <x:c r="B9" s="22" t="str">
        <x:v>1시간_측정_자유열람실1_오열에서_3.jpg</x:v>
      </x:c>
      <x:c r="C9" s="22" t="str">
        <x:v>FREE1_1H_R2</x:v>
      </x:c>
      <x:c r="D9" s="22" t="str">
        <x:v>기존 Excel 대응</x:v>
      </x:c>
    </x:row>
    <x:row r="10" ht="15" hidden="0" customHeight="1">
      <x:c r="A10" s="22" t="str">
        <x:v>일반</x:v>
      </x:c>
      <x:c r="B10" s="22" t="str">
        <x:v>1시간_측정_자유열람실1_오열에서_4.jpg</x:v>
      </x:c>
      <x:c r="C10" s="22" t="str">
        <x:v>FREE1_1H_R2</x:v>
      </x:c>
      <x:c r="D10" s="22" t="str">
        <x:v>기존 Excel 대응</x:v>
      </x:c>
    </x:row>
    <x:row r="11" ht="15" hidden="0" customHeight="1">
      <x:c r="A11" s="22" t="str">
        <x:v>이동</x:v>
      </x:c>
      <x:c r="B11" s="22" t="str">
        <x:v>이동하면서_오열2_1시간 측정_1.png</x:v>
      </x:c>
      <x:c r="C11" s="22" t="str">
        <x:v>MOVE_OPEN2_1H_R1</x:v>
      </x:c>
      <x:c r="D11" s="22" t="str">
        <x:v>기존 Excel 대응+이미지 보완</x:v>
      </x:c>
    </x:row>
    <x:row r="12" ht="15" hidden="0" customHeight="1">
      <x:c r="A12" s="22" t="str">
        <x:v>이동</x:v>
      </x:c>
      <x:c r="B12" s="22" t="str">
        <x:v>이동하면서_오열2_1시간 측정_2.png</x:v>
      </x:c>
      <x:c r="C12" s="22" t="str">
        <x:v>MOVE_OPEN2_1H_R2</x:v>
      </x:c>
      <x:c r="D12" s="22" t="str">
        <x:v>기존 Excel 대응+이미지 보완</x:v>
      </x:c>
    </x:row>
    <x:row r="13" ht="15" hidden="0" customHeight="1">
      <x:c r="A13" s="22" t="str">
        <x:v>혼잡 유도</x:v>
      </x:c>
      <x:c r="B13" s="22" t="str">
        <x:v>오픈열람실에서_오픈열람실2_터트리기_1.jpg</x:v>
      </x:c>
      <x:c r="C13" s="22" t="str">
        <x:v>CONGESTED_OPEN2_R1</x:v>
      </x:c>
      <x:c r="D13" s="22" t="str">
        <x:v>기존 Excel 대응</x:v>
      </x:c>
    </x:row>
    <x:row r="14" ht="15" hidden="0" customHeight="1">
      <x:c r="A14" s="22" t="str">
        <x:v>혼잡 유도</x:v>
      </x:c>
      <x:c r="B14" s="22" t="str">
        <x:v>오픈열람실에서_오픈열람실2_터트리기_2.jpg</x:v>
      </x:c>
      <x:c r="C14" s="22" t="str">
        <x:v>CONGESTED_OPEN2_R1</x:v>
      </x:c>
      <x:c r="D14" s="22" t="str">
        <x:v>기존 Excel 대응</x:v>
      </x:c>
    </x:row>
    <x:row r="15" ht="15" hidden="0" customHeight="1">
      <x:c r="A15" s="22" t="str">
        <x:v>혼잡 유도</x:v>
      </x:c>
      <x:c r="B15" s="22" t="str">
        <x:v>오픈열람실에서_오픈열람실2_터트리기_3.jpg</x:v>
      </x:c>
      <x:c r="C15" s="22" t="str">
        <x:v>CONGESTED_OPEN2_R2</x:v>
      </x:c>
      <x:c r="D15" s="22" t="str">
        <x:v>이미지 판독</x:v>
      </x:c>
    </x:row>
  </x:sheetData>
  <x:pageMargins left="0.7" right="0.7" top="0.75" bottom="0.75" header="0.3" footer="0.3"/>
  <x:tableParts count="1">
    <x:tablePart xmlns:r="http://schemas.openxmlformats.org/officeDocument/2006/relationships" r:id="R03e4079e5c3942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20" hidden="0" customWidth="1"/>
    <x:col min="5" max="5" width="12" hidden="0" customWidth="1"/>
    <x:col min="6" max="6" width="12" hidden="0" customWidth="1"/>
    <x:col min="7" max="7" width="9" hidden="0" customWidth="1"/>
    <x:col min="8" max="8" width="14" hidden="0" customWidth="1"/>
    <x:col min="9" max="9" width="12" hidden="0" customWidth="1"/>
    <x:col min="10" max="10" width="12" hidden="0" customWidth="1"/>
    <x:col min="11" max="11" width="13" hidden="0" customWidth="1"/>
    <x:col min="12" max="12" width="12" hidden="0" customWidth="1"/>
    <x:col min="13" max="13" width="18" hidden="0" customWidth="1"/>
    <x:col min="14" max="14" width="14" hidden="0" customWidth="1"/>
    <x:col min="15" max="15" width="16" hidden="0" customWidth="1"/>
    <x:col min="16" max="16" width="17" hidden="0" customWidth="1"/>
    <x:col min="17" max="17" width="42" hidden="0" customWidth="1"/>
    <x:col min="18" max="18" width="22" hidden="0" customWidth="1"/>
    <x:col min="19" max="19" width="34" hidden="0" customWidth="1"/>
  </x:cols>
  <x:sheetData>
    <x:row r="1" ht="15" hidden="0" customHeight="1">
      <x:c r="A1" s="6" t="str">
        <x:v>측정세트_ID</x:v>
      </x:c>
      <x:c r="B1" s="6" t="str">
        <x:v>상태</x:v>
      </x:c>
      <x:c r="C1" s="6" t="str">
        <x:v>측정 위치</x:v>
      </x:c>
      <x:c r="D1" s="6" t="str">
        <x:v>대상 AP 구역</x:v>
      </x:c>
      <x:c r="E1" s="6" t="str">
        <x:v>측정 형태</x:v>
      </x:c>
      <x:c r="F1" s="6" t="str">
        <x:v>측정시간_min</x:v>
      </x:c>
      <x:c r="G1" s="6" t="str">
        <x:v>반복</x:v>
      </x:c>
      <x:c r="H1" s="6" t="str">
        <x:v>세트내_측정번호</x:v>
      </x:c>
      <x:c r="I1" s="6" t="str">
        <x:v>RSSI_dBm</x:v>
      </x:c>
      <x:c r="J1" s="6" t="str">
        <x:v>Link_Mbps</x:v>
      </x:c>
      <x:c r="K1" s="6" t="str">
        <x:v>UTIL_percent</x:v>
      </x:c>
      <x:c r="L1" s="6" t="str">
        <x:v>RTT_ms</x:v>
      </x:c>
      <x:c r="M1" s="6" t="str">
        <x:v>PacketLoss_percent</x:v>
      </x:c>
      <x:c r="N1" s="6" t="str">
        <x:v>Upload_Mbps</x:v>
      </x:c>
      <x:c r="O1" s="6" t="str">
        <x:v>Download_Mbps</x:v>
      </x:c>
      <x:c r="P1" s="6" t="str">
        <x:v>Effective_Mbps</x:v>
      </x:c>
      <x:c r="Q1" s="6" t="str">
        <x:v>원본 이미지</x:v>
      </x:c>
      <x:c r="R1" s="6" t="str">
        <x:v>데이터 출처</x:v>
      </x:c>
      <x:c r="S1" s="6" t="str">
        <x:v>검토 메모</x:v>
      </x:c>
    </x:row>
    <x:row r="2" ht="15" hidden="0" customHeight="1">
      <x:c r="A2" t="str">
        <x:v>NATURAL_1H_R1</x:v>
      </x:c>
      <x:c r="B2" t="str">
        <x:v>일반</x:v>
      </x:c>
      <x:c r="C2" t="str">
        <x:v>오픈열람실2</x:v>
      </x:c>
      <x:c r="D2" t="str">
        <x:v>자연자료실1 AP</x:v>
      </x:c>
      <x:c r="E2" t="str">
        <x:v>고정</x:v>
      </x:c>
      <x:c r="F2" t="n">
        <x:v>60</x:v>
      </x:c>
      <x:c r="G2" t="n">
        <x:v>1</x:v>
      </x:c>
      <x:c r="H2" t="n">
        <x:v>1</x:v>
      </x:c>
      <x:c r="I2" s="62" t="n">
        <x:v>-80</x:v>
      </x:c>
      <x:c r="J2" s="62" t="n">
        <x:v>960.75</x:v>
      </x:c>
      <x:c r="K2" s="62" t="n">
        <x:v>78</x:v>
      </x:c>
      <x:c r="L2" s="62" t="n">
        <x:v>3</x:v>
      </x:c>
      <x:c r="M2" s="62" t="n">
        <x:v>26.6667</x:v>
      </x:c>
      <x:c r="N2" s="62" t="n">
        <x:v>12.3439</x:v>
      </x:c>
      <x:c r="O2" s="62" t="n">
        <x:v>8.6011</x:v>
      </x:c>
      <x:c r="P2" s="62" t="n">
        <x:f>IF(OR(N2="",O2=""),"",2*N2*O2/(N2+O2))</x:f>
        <x:v>10.138087208402961</x:v>
      </x:c>
      <x:c r="Q2" t="str">
        <x:v>오열에서_자연1_1시간 측정_1.jpg; 오열에서_자연1_1시간 측정_2.jpg</x:v>
      </x:c>
      <x:c r="R2" t="str">
        <x:v>기존 Excel 대응</x:v>
      </x:c>
      <x:c r="S2" t="str"/>
    </x:row>
    <x:row r="3" ht="15" hidden="0" customHeight="1">
      <x:c r="A3" t="str">
        <x:v>NATURAL_1H_R1</x:v>
      </x:c>
      <x:c r="B3" t="str">
        <x:v>일반</x:v>
      </x:c>
      <x:c r="C3" t="str">
        <x:v>오픈열람실2</x:v>
      </x:c>
      <x:c r="D3" t="str">
        <x:v>자연자료실1 AP</x:v>
      </x:c>
      <x:c r="E3" t="str">
        <x:v>고정</x:v>
      </x:c>
      <x:c r="F3" t="n">
        <x:v>60</x:v>
      </x:c>
      <x:c r="G3" t="n">
        <x:v>1</x:v>
      </x:c>
      <x:c r="H3" t="n">
        <x:v>2</x:v>
      </x:c>
      <x:c r="I3" s="62" t="n">
        <x:v>-79</x:v>
      </x:c>
      <x:c r="J3" s="62" t="n">
        <x:v>960.75</x:v>
      </x:c>
      <x:c r="K3" s="62" t="n">
        <x:v>17</x:v>
      </x:c>
      <x:c r="L3" s="62" t="n">
        <x:v>3</x:v>
      </x:c>
      <x:c r="M3" s="62" t="n">
        <x:v>0</x:v>
      </x:c>
      <x:c r="N3" s="62" t="n">
        <x:v>21.9789</x:v>
      </x:c>
      <x:c r="O3" s="62" t="n">
        <x:v>7.9566</x:v>
      </x:c>
      <x:c r="P3" s="62" t="n">
        <x:f>IF(OR(N3="",O3=""),"",2*N3*O3/(N3+O3))</x:f>
        <x:v>11.68360747206494</x:v>
      </x:c>
      <x:c r="Q3" t="str">
        <x:v>오열에서_자연1_1시간 측정_1.jpg; 오열에서_자연1_1시간 측정_2.jpg</x:v>
      </x:c>
      <x:c r="R3" t="str">
        <x:v>기존 Excel 대응</x:v>
      </x:c>
      <x:c r="S3" t="str"/>
    </x:row>
    <x:row r="4" ht="15" hidden="0" customHeight="1">
      <x:c r="A4" t="str">
        <x:v>NATURAL_1H_R1</x:v>
      </x:c>
      <x:c r="B4" t="str">
        <x:v>일반</x:v>
      </x:c>
      <x:c r="C4" t="str">
        <x:v>오픈열람실2</x:v>
      </x:c>
      <x:c r="D4" t="str">
        <x:v>자연자료실1 AP</x:v>
      </x:c>
      <x:c r="E4" t="str">
        <x:v>고정</x:v>
      </x:c>
      <x:c r="F4" t="n">
        <x:v>60</x:v>
      </x:c>
      <x:c r="G4" t="n">
        <x:v>1</x:v>
      </x:c>
      <x:c r="H4" t="n">
        <x:v>3</x:v>
      </x:c>
      <x:c r="I4" s="62" t="n">
        <x:v>-78</x:v>
      </x:c>
      <x:c r="J4" s="62" t="n">
        <x:v>960.75</x:v>
      </x:c>
      <x:c r="K4" s="62" t="n">
        <x:v>12</x:v>
      </x:c>
      <x:c r="L4" s="62" t="n">
        <x:v>4</x:v>
      </x:c>
      <x:c r="M4" s="62" t="n">
        <x:v>0</x:v>
      </x:c>
      <x:c r="N4" s="62" t="n">
        <x:v>4.6096</x:v>
      </x:c>
      <x:c r="O4" s="62" t="n">
        <x:v>11.7352</x:v>
      </x:c>
      <x:c r="P4" s="62" t="n">
        <x:f>IF(OR(N4="",O4=""),"",2*N4*O4/(N4+O4))</x:f>
        <x:v>6.6191789339728855</x:v>
      </x:c>
      <x:c r="Q4" t="str">
        <x:v>오열에서_자연1_1시간 측정_1.jpg; 오열에서_자연1_1시간 측정_2.jpg</x:v>
      </x:c>
      <x:c r="R4" t="str">
        <x:v>기존 Excel 대응</x:v>
      </x:c>
      <x:c r="S4" t="str"/>
    </x:row>
    <x:row r="5" ht="15" hidden="0" customHeight="1">
      <x:c r="A5" t="str">
        <x:v>NATURAL_1H_R1</x:v>
      </x:c>
      <x:c r="B5" t="str">
        <x:v>일반</x:v>
      </x:c>
      <x:c r="C5" t="str">
        <x:v>오픈열람실2</x:v>
      </x:c>
      <x:c r="D5" t="str">
        <x:v>자연자료실1 AP</x:v>
      </x:c>
      <x:c r="E5" t="str">
        <x:v>고정</x:v>
      </x:c>
      <x:c r="F5" t="n">
        <x:v>60</x:v>
      </x:c>
      <x:c r="G5" t="n">
        <x:v>1</x:v>
      </x:c>
      <x:c r="H5" t="n">
        <x:v>4</x:v>
      </x:c>
      <x:c r="I5" s="62" t="n">
        <x:v>-78</x:v>
      </x:c>
      <x:c r="J5" s="62" t="n">
        <x:v>960.75</x:v>
      </x:c>
      <x:c r="K5" s="62" t="n">
        <x:v>88</x:v>
      </x:c>
      <x:c r="L5" s="62" t="n">
        <x:v>69</x:v>
      </x:c>
      <x:c r="M5" s="62" t="n">
        <x:v>0</x:v>
      </x:c>
      <x:c r="N5" s="62" t="n">
        <x:v>8.4026</x:v>
      </x:c>
      <x:c r="O5" s="62" t="n">
        <x:v>2.7223</x:v>
      </x:c>
      <x:c r="P5" s="62" t="n">
        <x:f>IF(OR(N5="",O5=""),"",2*N5*O5/(N5+O5))</x:f>
        <x:v>4.112288286636285</x:v>
      </x:c>
      <x:c r="Q5" t="str">
        <x:v>오열에서_자연1_1시간 측정_1.jpg; 오열에서_자연1_1시간 측정_2.jpg</x:v>
      </x:c>
      <x:c r="R5" t="str">
        <x:v>기존 Excel 대응</x:v>
      </x:c>
      <x:c r="S5" t="str"/>
    </x:row>
    <x:row r="6" ht="15" hidden="0" customHeight="1">
      <x:c r="A6" t="str">
        <x:v>NATURAL_1H_R1</x:v>
      </x:c>
      <x:c r="B6" t="str">
        <x:v>일반</x:v>
      </x:c>
      <x:c r="C6" t="str">
        <x:v>오픈열람실2</x:v>
      </x:c>
      <x:c r="D6" t="str">
        <x:v>자연자료실1 AP</x:v>
      </x:c>
      <x:c r="E6" t="str">
        <x:v>고정</x:v>
      </x:c>
      <x:c r="F6" t="n">
        <x:v>60</x:v>
      </x:c>
      <x:c r="G6" t="n">
        <x:v>1</x:v>
      </x:c>
      <x:c r="H6" t="n">
        <x:v>5</x:v>
      </x:c>
      <x:c r="I6" s="62" t="n">
        <x:v>-80</x:v>
      </x:c>
      <x:c r="J6" s="62" t="n">
        <x:v>960.75</x:v>
      </x:c>
      <x:c r="K6" s="62" t="n">
        <x:v>10</x:v>
      </x:c>
      <x:c r="L6" s="62" t="n">
        <x:v>6</x:v>
      </x:c>
      <x:c r="M6" s="62" t="n">
        <x:v>0</x:v>
      </x:c>
      <x:c r="N6" s="62" t="n">
        <x:v>12.5483</x:v>
      </x:c>
      <x:c r="O6" s="62" t="n">
        <x:v>8.5853</x:v>
      </x:c>
      <x:c r="P6" s="62" t="n">
        <x:f>IF(OR(N6="",O6=""),"",2*N6*O6/(N6+O6))</x:f>
        <x:v>10.195226557709049</x:v>
      </x:c>
      <x:c r="Q6" t="str">
        <x:v>오열에서_자연1_1시간 측정_1.jpg; 오열에서_자연1_1시간 측정_2.jpg</x:v>
      </x:c>
      <x:c r="R6" t="str">
        <x:v>기존 Excel 대응</x:v>
      </x:c>
      <x:c r="S6" t="str"/>
    </x:row>
    <x:row r="7" ht="15" hidden="0" customHeight="1">
      <x:c r="A7" t="str">
        <x:v>NATURAL_1H_R1</x:v>
      </x:c>
      <x:c r="B7" t="str">
        <x:v>일반</x:v>
      </x:c>
      <x:c r="C7" t="str">
        <x:v>오픈열람실2</x:v>
      </x:c>
      <x:c r="D7" t="str">
        <x:v>자연자료실1 AP</x:v>
      </x:c>
      <x:c r="E7" t="str">
        <x:v>고정</x:v>
      </x:c>
      <x:c r="F7" t="n">
        <x:v>60</x:v>
      </x:c>
      <x:c r="G7" t="n">
        <x:v>1</x:v>
      </x:c>
      <x:c r="H7" t="n">
        <x:v>6</x:v>
      </x:c>
      <x:c r="I7" s="62" t="n">
        <x:v>-61</x:v>
      </x:c>
      <x:c r="J7" s="62" t="n">
        <x:v>960.75</x:v>
      </x:c>
      <x:c r="K7" s="62" t="n">
        <x:v>12</x:v>
      </x:c>
      <x:c r="L7" s="62" t="n">
        <x:v>3</x:v>
      </x:c>
      <x:c r="M7" s="62" t="n">
        <x:v>0</x:v>
      </x:c>
      <x:c r="N7" s="62" t="n">
        <x:v>9.4245</x:v>
      </x:c>
      <x:c r="O7" s="62" t="n">
        <x:v>7.9482</x:v>
      </x:c>
      <x:c r="P7" s="62" t="n">
        <x:f>IF(OR(N7="",O7=""),"",2*N7*O7/(N7+O7))</x:f>
        <x:v>8.623623374604984</x:v>
      </x:c>
      <x:c r="Q7" t="str">
        <x:v>오열에서_자연1_1시간 측정_1.jpg; 오열에서_자연1_1시간 측정_2.jpg</x:v>
      </x:c>
      <x:c r="R7" t="str">
        <x:v>기존 Excel 대응</x:v>
      </x:c>
      <x:c r="S7" t="str"/>
    </x:row>
    <x:row r="8" ht="15" hidden="0" customHeight="1">
      <x:c r="A8" t="str">
        <x:v>NATURAL_1H_R1</x:v>
      </x:c>
      <x:c r="B8" t="str">
        <x:v>일반</x:v>
      </x:c>
      <x:c r="C8" t="str">
        <x:v>오픈열람실2</x:v>
      </x:c>
      <x:c r="D8" t="str">
        <x:v>자연자료실1 AP</x:v>
      </x:c>
      <x:c r="E8" t="str">
        <x:v>고정</x:v>
      </x:c>
      <x:c r="F8" t="n">
        <x:v>60</x:v>
      </x:c>
      <x:c r="G8" t="n">
        <x:v>1</x:v>
      </x:c>
      <x:c r="H8" t="n">
        <x:v>7</x:v>
      </x:c>
      <x:c r="I8" s="62" t="n">
        <x:v>-80</x:v>
      </x:c>
      <x:c r="J8" s="62" t="n">
        <x:v>960.75</x:v>
      </x:c>
      <x:c r="K8" s="62" t="n">
        <x:v>14</x:v>
      </x:c>
      <x:c r="L8" s="62" t="n">
        <x:v>3</x:v>
      </x:c>
      <x:c r="M8" s="62" t="n">
        <x:v>0</x:v>
      </x:c>
      <x:c r="N8" s="62" t="n">
        <x:v>10.4688</x:v>
      </x:c>
      <x:c r="O8" s="62" t="n">
        <x:v>8.5872</x:v>
      </x:c>
      <x:c r="P8" s="62" t="n">
        <x:f>IF(OR(N8="",O8=""),"",2*N8*O8/(N8+O8))</x:f>
        <x:v>9.435104886649874</x:v>
      </x:c>
      <x:c r="Q8" t="str">
        <x:v>오열에서_자연1_1시간 측정_1.jpg; 오열에서_자연1_1시간 측정_2.jpg</x:v>
      </x:c>
      <x:c r="R8" t="str">
        <x:v>기존 Excel 대응</x:v>
      </x:c>
      <x:c r="S8" t="str"/>
    </x:row>
    <x:row r="9" ht="15" hidden="0" customHeight="1">
      <x:c r="A9" t="str">
        <x:v>NATURAL_1H_R1</x:v>
      </x:c>
      <x:c r="B9" t="str">
        <x:v>일반</x:v>
      </x:c>
      <x:c r="C9" t="str">
        <x:v>오픈열람실2</x:v>
      </x:c>
      <x:c r="D9" t="str">
        <x:v>자연자료실1 AP</x:v>
      </x:c>
      <x:c r="E9" t="str">
        <x:v>고정</x:v>
      </x:c>
      <x:c r="F9" t="n">
        <x:v>60</x:v>
      </x:c>
      <x:c r="G9" t="n">
        <x:v>1</x:v>
      </x:c>
      <x:c r="H9" t="n">
        <x:v>8</x:v>
      </x:c>
      <x:c r="I9" s="62" t="n">
        <x:v>-80</x:v>
      </x:c>
      <x:c r="J9" s="62" t="n">
        <x:v>960.75</x:v>
      </x:c>
      <x:c r="K9" s="62" t="n">
        <x:v>18</x:v>
      </x:c>
      <x:c r="L9" s="62" t="n">
        <x:v>4</x:v>
      </x:c>
      <x:c r="M9" s="62" t="n">
        <x:v>0</x:v>
      </x:c>
      <x:c r="N9" s="62" t="n">
        <x:v>15.7001</x:v>
      </x:c>
      <x:c r="O9" s="62" t="n">
        <x:v>8.5724</x:v>
      </x:c>
      <x:c r="P9" s="62" t="n">
        <x:f>IF(OR(N9="",O9=""),"",2*N9*O9/(N9+O9))</x:f>
        <x:v>11.089713646307551</x:v>
      </x:c>
      <x:c r="Q9" t="str">
        <x:v>오열에서_자연1_1시간 측정_1.jpg; 오열에서_자연1_1시간 측정_2.jpg</x:v>
      </x:c>
      <x:c r="R9" t="str">
        <x:v>기존 Excel 대응</x:v>
      </x:c>
      <x:c r="S9" t="str"/>
    </x:row>
    <x:row r="10" ht="15" hidden="0" customHeight="1">
      <x:c r="A10" t="str">
        <x:v>NATURAL_1H_R1</x:v>
      </x:c>
      <x:c r="B10" t="str">
        <x:v>일반</x:v>
      </x:c>
      <x:c r="C10" t="str">
        <x:v>오픈열람실2</x:v>
      </x:c>
      <x:c r="D10" t="str">
        <x:v>자연자료실1 AP</x:v>
      </x:c>
      <x:c r="E10" t="str">
        <x:v>고정</x:v>
      </x:c>
      <x:c r="F10" t="n">
        <x:v>60</x:v>
      </x:c>
      <x:c r="G10" t="n">
        <x:v>1</x:v>
      </x:c>
      <x:c r="H10" t="n">
        <x:v>9</x:v>
      </x:c>
      <x:c r="I10" s="62" t="n">
        <x:v>-80</x:v>
      </x:c>
      <x:c r="J10" s="62" t="n">
        <x:v>960.75</x:v>
      </x:c>
      <x:c r="K10" s="62" t="n">
        <x:v>45</x:v>
      </x:c>
      <x:c r="L10" s="62" t="n">
        <x:v>4</x:v>
      </x:c>
      <x:c r="M10" s="62" t="n">
        <x:v>0</x:v>
      </x:c>
      <x:c r="N10" s="62" t="n">
        <x:v>6.4889</x:v>
      </x:c>
      <x:c r="O10" s="62" t="n">
        <x:v>3.5557</x:v>
      </x:c>
      <x:c r="P10" s="62" t="n">
        <x:f>IF(OR(N10="",O10=""),"",2*N10*O10/(N10+O10))</x:f>
        <x:v>4.594026985644028</x:v>
      </x:c>
      <x:c r="Q10" t="str">
        <x:v>오열에서_자연1_1시간 측정_1.jpg; 오열에서_자연1_1시간 측정_2.jpg</x:v>
      </x:c>
      <x:c r="R10" t="str">
        <x:v>기존 Excel 대응</x:v>
      </x:c>
      <x:c r="S10" t="str"/>
    </x:row>
    <x:row r="11" ht="15" hidden="0" customHeight="1">
      <x:c r="A11" t="str">
        <x:v>NATURAL_1H_R1</x:v>
      </x:c>
      <x:c r="B11" t="str">
        <x:v>일반</x:v>
      </x:c>
      <x:c r="C11" t="str">
        <x:v>오픈열람실2</x:v>
      </x:c>
      <x:c r="D11" t="str">
        <x:v>자연자료실1 AP</x:v>
      </x:c>
      <x:c r="E11" t="str">
        <x:v>고정</x:v>
      </x:c>
      <x:c r="F11" t="n">
        <x:v>60</x:v>
      </x:c>
      <x:c r="G11" t="n">
        <x:v>1</x:v>
      </x:c>
      <x:c r="H11" t="n">
        <x:v>10</x:v>
      </x:c>
      <x:c r="I11" s="62" t="n">
        <x:v>-80</x:v>
      </x:c>
      <x:c r="J11" s="62" t="n">
        <x:v>960.75</x:v>
      </x:c>
      <x:c r="K11" s="62" t="n">
        <x:v>25</x:v>
      </x:c>
      <x:c r="L11" s="62" t="n">
        <x:v>5</x:v>
      </x:c>
      <x:c r="M11" s="62" t="n">
        <x:v>0</x:v>
      </x:c>
      <x:c r="N11" s="62" t="n">
        <x:v>7.533</x:v>
      </x:c>
      <x:c r="O11" s="62" t="n">
        <x:v>7.5263</x:v>
      </x:c>
      <x:c r="P11" s="62" t="n">
        <x:f>IF(OR(N11="",O11=""),"",2*N11*O11/(N11+O11))</x:f>
        <x:v>7.529648509558878</x:v>
      </x:c>
      <x:c r="Q11" t="str">
        <x:v>오열에서_자연1_1시간 측정_1.jpg; 오열에서_자연1_1시간 측정_2.jpg</x:v>
      </x:c>
      <x:c r="R11" t="str">
        <x:v>기존 Excel 대응</x:v>
      </x:c>
      <x:c r="S11" t="str"/>
    </x:row>
    <x:row r="12" ht="15" hidden="0" customHeight="1">
      <x:c r="A12" t="str">
        <x:v>NATURAL_1H_R1</x:v>
      </x:c>
      <x:c r="B12" t="str">
        <x:v>일반</x:v>
      </x:c>
      <x:c r="C12" t="str">
        <x:v>오픈열람실2</x:v>
      </x:c>
      <x:c r="D12" t="str">
        <x:v>자연자료실1 AP</x:v>
      </x:c>
      <x:c r="E12" t="str">
        <x:v>고정</x:v>
      </x:c>
      <x:c r="F12" t="n">
        <x:v>60</x:v>
      </x:c>
      <x:c r="G12" t="n">
        <x:v>1</x:v>
      </x:c>
      <x:c r="H12" t="n">
        <x:v>11</x:v>
      </x:c>
      <x:c r="I12" s="62" t="n">
        <x:v>-81</x:v>
      </x:c>
      <x:c r="J12" s="62" t="n">
        <x:v>960.75</x:v>
      </x:c>
      <x:c r="K12" s="62" t="n">
        <x:v>14</x:v>
      </x:c>
      <x:c r="L12" s="62" t="n">
        <x:v>4</x:v>
      </x:c>
      <x:c r="M12" s="62" t="n">
        <x:v>0</x:v>
      </x:c>
      <x:c r="N12" s="62" t="n">
        <x:v>13.1777</x:v>
      </x:c>
      <x:c r="O12" s="62" t="n">
        <x:v>5.2287</x:v>
      </x:c>
      <x:c r="P12" s="62" t="n">
        <x:f>IF(OR(N12="",O12=""),"",2*N12*O12/(N12+O12))</x:f>
        <x:v>7.486769818106747</x:v>
      </x:c>
      <x:c r="Q12" t="str">
        <x:v>오열에서_자연1_1시간 측정_1.jpg; 오열에서_자연1_1시간 측정_2.jpg</x:v>
      </x:c>
      <x:c r="R12" t="str">
        <x:v>기존 Excel 대응</x:v>
      </x:c>
      <x:c r="S12" t="str"/>
    </x:row>
    <x:row r="13" ht="15" hidden="0" customHeight="1">
      <x:c r="A13" t="str">
        <x:v>NATURAL_1H_R1</x:v>
      </x:c>
      <x:c r="B13" t="str">
        <x:v>일반</x:v>
      </x:c>
      <x:c r="C13" t="str">
        <x:v>오픈열람실2</x:v>
      </x:c>
      <x:c r="D13" t="str">
        <x:v>자연자료실1 AP</x:v>
      </x:c>
      <x:c r="E13" t="str">
        <x:v>고정</x:v>
      </x:c>
      <x:c r="F13" t="n">
        <x:v>60</x:v>
      </x:c>
      <x:c r="G13" t="n">
        <x:v>1</x:v>
      </x:c>
      <x:c r="H13" t="n">
        <x:v>12</x:v>
      </x:c>
      <x:c r="I13" s="62" t="n">
        <x:v>-80</x:v>
      </x:c>
      <x:c r="J13" s="62" t="n">
        <x:v>960.75</x:v>
      </x:c>
      <x:c r="K13" s="62" t="n">
        <x:v>14</x:v>
      </x:c>
      <x:c r="L13" s="62" t="n">
        <x:v>4</x:v>
      </x:c>
      <x:c r="M13" s="62" t="n">
        <x:v>0</x:v>
      </x:c>
      <x:c r="N13" s="62" t="n">
        <x:v>10.2683</x:v>
      </x:c>
      <x:c r="O13" s="62" t="n">
        <x:v>5.8557</x:v>
      </x:c>
      <x:c r="P13" s="62" t="n">
        <x:f>IF(OR(N13="",O13=""),"",2*N13*O13/(N13+O13))</x:f>
        <x:v>7.4582094157777234</x:v>
      </x:c>
      <x:c r="Q13" t="str">
        <x:v>오열에서_자연1_1시간 측정_1.jpg; 오열에서_자연1_1시간 측정_2.jpg</x:v>
      </x:c>
      <x:c r="R13" t="str">
        <x:v>기존 Excel 대응</x:v>
      </x:c>
      <x:c r="S13" t="str"/>
    </x:row>
    <x:row r="14" ht="15" hidden="0" customHeight="1">
      <x:c r="A14" t="str">
        <x:v>NATURAL_1H_R1</x:v>
      </x:c>
      <x:c r="B14" t="str">
        <x:v>일반</x:v>
      </x:c>
      <x:c r="C14" t="str">
        <x:v>오픈열람실2</x:v>
      </x:c>
      <x:c r="D14" t="str">
        <x:v>자연자료실1 AP</x:v>
      </x:c>
      <x:c r="E14" t="str">
        <x:v>고정</x:v>
      </x:c>
      <x:c r="F14" t="n">
        <x:v>60</x:v>
      </x:c>
      <x:c r="G14" t="n">
        <x:v>1</x:v>
      </x:c>
      <x:c r="H14" t="n">
        <x:v>13</x:v>
      </x:c>
      <x:c r="I14" s="62" t="n">
        <x:v>-80</x:v>
      </x:c>
      <x:c r="J14" s="62" t="n">
        <x:v>960.75</x:v>
      </x:c>
      <x:c r="K14" s="62" t="n">
        <x:v>23</x:v>
      </x:c>
      <x:c r="L14" s="62" t="n">
        <x:v>6</x:v>
      </x:c>
      <x:c r="M14" s="62" t="n">
        <x:v>0</x:v>
      </x:c>
      <x:c r="N14" s="62" t="n">
        <x:v>10.0436</x:v>
      </x:c>
      <x:c r="O14" s="62" t="n">
        <x:v>6.6943</x:v>
      </x:c>
      <x:c r="P14" s="62" t="n">
        <x:f>IF(OR(N14="",O14=""),"",2*N14*O14/(N14+O14))</x:f>
        <x:v>8.033847911625712</x:v>
      </x:c>
      <x:c r="Q14" t="str">
        <x:v>오열에서_자연1_1시간 측정_1.jpg; 오열에서_자연1_1시간 측정_2.jpg</x:v>
      </x:c>
      <x:c r="R14" t="str">
        <x:v>기존 Excel 대응</x:v>
      </x:c>
      <x:c r="S14" t="str"/>
    </x:row>
    <x:row r="15" ht="15" hidden="0" customHeight="1">
      <x:c r="A15" t="str">
        <x:v>NATURAL_1H_R1</x:v>
      </x:c>
      <x:c r="B15" t="str">
        <x:v>일반</x:v>
      </x:c>
      <x:c r="C15" t="str">
        <x:v>오픈열람실2</x:v>
      </x:c>
      <x:c r="D15" t="str">
        <x:v>자연자료실1 AP</x:v>
      </x:c>
      <x:c r="E15" t="str">
        <x:v>고정</x:v>
      </x:c>
      <x:c r="F15" t="n">
        <x:v>60</x:v>
      </x:c>
      <x:c r="G15" t="n">
        <x:v>1</x:v>
      </x:c>
      <x:c r="H15" t="n">
        <x:v>14</x:v>
      </x:c>
      <x:c r="I15" s="62" t="n">
        <x:v>-80</x:v>
      </x:c>
      <x:c r="J15" s="62" t="n">
        <x:v>960.75</x:v>
      </x:c>
      <x:c r="K15" s="62" t="n">
        <x:v>29</x:v>
      </x:c>
      <x:c r="L15" s="62" t="n">
        <x:v>5</x:v>
      </x:c>
      <x:c r="M15" s="62" t="n">
        <x:v>0</x:v>
      </x:c>
      <x:c r="N15" s="62" t="n">
        <x:v>13.389</x:v>
      </x:c>
      <x:c r="O15" s="62" t="n">
        <x:v>8.364</x:v>
      </x:c>
      <x:c r="P15" s="62" t="n">
        <x:f>IF(OR(N15="",O15=""),"",2*N15*O15/(N15+O15))</x:f>
        <x:v>10.29610591642532</x:v>
      </x:c>
      <x:c r="Q15" t="str">
        <x:v>오열에서_자연1_1시간 측정_1.jpg; 오열에서_자연1_1시간 측정_2.jpg</x:v>
      </x:c>
      <x:c r="R15" t="str">
        <x:v>기존 Excel 대응</x:v>
      </x:c>
      <x:c r="S15" t="str"/>
    </x:row>
    <x:row r="16" ht="15" hidden="0" customHeight="1">
      <x:c r="A16" t="str">
        <x:v>NATURAL_1H_R1</x:v>
      </x:c>
      <x:c r="B16" t="str">
        <x:v>일반</x:v>
      </x:c>
      <x:c r="C16" t="str">
        <x:v>오픈열람실2</x:v>
      </x:c>
      <x:c r="D16" t="str">
        <x:v>자연자료실1 AP</x:v>
      </x:c>
      <x:c r="E16" t="str">
        <x:v>고정</x:v>
      </x:c>
      <x:c r="F16" t="n">
        <x:v>60</x:v>
      </x:c>
      <x:c r="G16" t="n">
        <x:v>1</x:v>
      </x:c>
      <x:c r="H16" t="n">
        <x:v>15</x:v>
      </x:c>
      <x:c r="I16" s="62" t="n">
        <x:v>-82</x:v>
      </x:c>
      <x:c r="J16" s="62" t="n">
        <x:v>960.75</x:v>
      </x:c>
      <x:c r="K16" s="62" t="n">
        <x:v>25</x:v>
      </x:c>
      <x:c r="L16" s="62" t="n">
        <x:v>8</x:v>
      </x:c>
      <x:c r="M16" s="62" t="n">
        <x:v>0</x:v>
      </x:c>
      <x:c r="N16" s="62" t="n">
        <x:v>9.2179</x:v>
      </x:c>
      <x:c r="O16" s="62" t="n">
        <x:v>7.3166</x:v>
      </x:c>
      <x:c r="P16" s="62" t="n">
        <x:f>IF(OR(N16="",O16=""),"",2*N16*O16/(N16+O16))</x:f>
        <x:v>8.157934880401585</x:v>
      </x:c>
      <x:c r="Q16" t="str">
        <x:v>오열에서_자연1_1시간 측정_1.jpg; 오열에서_자연1_1시간 측정_2.jpg</x:v>
      </x:c>
      <x:c r="R16" t="str">
        <x:v>기존 Excel 대응</x:v>
      </x:c>
      <x:c r="S16" t="str"/>
    </x:row>
    <x:row r="17" ht="15" hidden="0" customHeight="1">
      <x:c r="A17" t="str">
        <x:v>NATURAL_1H_R1</x:v>
      </x:c>
      <x:c r="B17" t="str">
        <x:v>일반</x:v>
      </x:c>
      <x:c r="C17" t="str">
        <x:v>오픈열람실2</x:v>
      </x:c>
      <x:c r="D17" t="str">
        <x:v>자연자료실1 AP</x:v>
      </x:c>
      <x:c r="E17" t="str">
        <x:v>고정</x:v>
      </x:c>
      <x:c r="F17" t="n">
        <x:v>60</x:v>
      </x:c>
      <x:c r="G17" t="n">
        <x:v>1</x:v>
      </x:c>
      <x:c r="H17" t="n">
        <x:v>16</x:v>
      </x:c>
      <x:c r="I17" s="62" t="n">
        <x:v>-81</x:v>
      </x:c>
      <x:c r="J17" s="62" t="n">
        <x:v>960.75</x:v>
      </x:c>
      <x:c r="K17" s="62" t="n">
        <x:v>16</x:v>
      </x:c>
      <x:c r="L17" s="62" t="n">
        <x:v>6</x:v>
      </x:c>
      <x:c r="M17" s="62" t="n">
        <x:v>0</x:v>
      </x:c>
      <x:c r="N17" s="62" t="n">
        <x:v>12.5357</x:v>
      </x:c>
      <x:c r="O17" s="62" t="n">
        <x:v>6.6813</x:v>
      </x:c>
      <x:c r="P17" s="62" t="n">
        <x:f>IF(OR(N17="",O17=""),"",2*N17*O17/(N17+O17))</x:f>
        <x:v>8.716737514700526</x:v>
      </x:c>
      <x:c r="Q17" t="str">
        <x:v>오열에서_자연1_1시간 측정_1.jpg; 오열에서_자연1_1시간 측정_2.jpg</x:v>
      </x:c>
      <x:c r="R17" t="str">
        <x:v>기존 Excel 대응</x:v>
      </x:c>
      <x:c r="S17" t="str"/>
    </x:row>
    <x:row r="18" ht="15" hidden="0" customHeight="1">
      <x:c r="A18" t="str">
        <x:v>NATURAL_1H_R1</x:v>
      </x:c>
      <x:c r="B18" t="str">
        <x:v>일반</x:v>
      </x:c>
      <x:c r="C18" t="str">
        <x:v>오픈열람실2</x:v>
      </x:c>
      <x:c r="D18" t="str">
        <x:v>자연자료실1 AP</x:v>
      </x:c>
      <x:c r="E18" t="str">
        <x:v>고정</x:v>
      </x:c>
      <x:c r="F18" t="n">
        <x:v>60</x:v>
      </x:c>
      <x:c r="G18" t="n">
        <x:v>1</x:v>
      </x:c>
      <x:c r="H18" t="n">
        <x:v>17</x:v>
      </x:c>
      <x:c r="I18" s="62" t="n">
        <x:v>-81</x:v>
      </x:c>
      <x:c r="J18" s="62" t="n">
        <x:v>960.75</x:v>
      </x:c>
      <x:c r="K18" s="62" t="n">
        <x:v>20</x:v>
      </x:c>
      <x:c r="L18" s="62" t="n">
        <x:v>21</x:v>
      </x:c>
      <x:c r="M18" s="62" t="n">
        <x:v>0</x:v>
      </x:c>
      <x:c r="N18" s="62" t="n">
        <x:v>10.0369</x:v>
      </x:c>
      <x:c r="O18" s="62" t="n">
        <x:v>5.2141</x:v>
      </x:c>
      <x:c r="P18" s="62" t="n">
        <x:f>IF(OR(N18="",O18=""),"",2*N18*O18/(N18+O18))</x:f>
        <x:v>6.8629467300504885</x:v>
      </x:c>
      <x:c r="Q18" t="str">
        <x:v>오열에서_자연1_1시간 측정_1.jpg; 오열에서_자연1_1시간 측정_2.jpg</x:v>
      </x:c>
      <x:c r="R18" t="str">
        <x:v>기존 Excel 대응</x:v>
      </x:c>
      <x:c r="S18" t="str"/>
    </x:row>
    <x:row r="19" ht="15" hidden="0" customHeight="1">
      <x:c r="A19" t="str">
        <x:v>NATURAL_1H_R1</x:v>
      </x:c>
      <x:c r="B19" t="str">
        <x:v>일반</x:v>
      </x:c>
      <x:c r="C19" t="str">
        <x:v>오픈열람실2</x:v>
      </x:c>
      <x:c r="D19" t="str">
        <x:v>자연자료실1 AP</x:v>
      </x:c>
      <x:c r="E19" t="str">
        <x:v>고정</x:v>
      </x:c>
      <x:c r="F19" t="n">
        <x:v>60</x:v>
      </x:c>
      <x:c r="G19" t="n">
        <x:v>1</x:v>
      </x:c>
      <x:c r="H19" t="n">
        <x:v>18</x:v>
      </x:c>
      <x:c r="I19" s="62" t="n">
        <x:v>-81</x:v>
      </x:c>
      <x:c r="J19" s="62" t="n">
        <x:v>960.75</x:v>
      </x:c>
      <x:c r="K19" s="62" t="n">
        <x:v>15</x:v>
      </x:c>
      <x:c r="L19" s="62" t="n">
        <x:v>5</x:v>
      </x:c>
      <x:c r="M19" s="62" t="n">
        <x:v>0</x:v>
      </x:c>
      <x:c r="N19" s="62" t="n">
        <x:v>6.4851</x:v>
      </x:c>
      <x:c r="O19" s="62" t="n">
        <x:v>7.3382</x:v>
      </x:c>
      <x:c r="P19" s="62" t="n">
        <x:f>IF(OR(N19="",O19=""),"",2*N19*O19/(N19+O19))</x:f>
        <x:v>6.885325619786881</x:v>
      </x:c>
      <x:c r="Q19" t="str">
        <x:v>오열에서_자연1_1시간 측정_1.jpg; 오열에서_자연1_1시간 측정_2.jpg</x:v>
      </x:c>
      <x:c r="R19" t="str">
        <x:v>기존 Excel 대응</x:v>
      </x:c>
      <x:c r="S19" t="str"/>
    </x:row>
    <x:row r="20" ht="15" hidden="0" customHeight="1">
      <x:c r="A20" t="str">
        <x:v>NATURAL_1H_R1</x:v>
      </x:c>
      <x:c r="B20" t="str">
        <x:v>일반</x:v>
      </x:c>
      <x:c r="C20" t="str">
        <x:v>오픈열람실2</x:v>
      </x:c>
      <x:c r="D20" t="str">
        <x:v>자연자료실1 AP</x:v>
      </x:c>
      <x:c r="E20" t="str">
        <x:v>고정</x:v>
      </x:c>
      <x:c r="F20" t="n">
        <x:v>60</x:v>
      </x:c>
      <x:c r="G20" t="n">
        <x:v>1</x:v>
      </x:c>
      <x:c r="H20" t="n">
        <x:v>19</x:v>
      </x:c>
      <x:c r="I20" s="62" t="n">
        <x:v>-81</x:v>
      </x:c>
      <x:c r="J20" s="62" t="n">
        <x:v>960.75</x:v>
      </x:c>
      <x:c r="K20" s="62" t="n">
        <x:v>12</x:v>
      </x:c>
      <x:c r="L20" s="62" t="n">
        <x:v>4</x:v>
      </x:c>
      <x:c r="M20" s="62" t="n">
        <x:v>0</x:v>
      </x:c>
      <x:c r="N20" s="62" t="n">
        <x:v>4.4011</x:v>
      </x:c>
      <x:c r="O20" s="62" t="n">
        <x:v>7.7419</x:v>
      </x:c>
      <x:c r="P20" s="62" t="n">
        <x:f>IF(OR(N20="",O20=""),"",2*N20*O20/(N20+O20))</x:f>
        <x:v>5.611937097916495</x:v>
      </x:c>
      <x:c r="Q20" t="str">
        <x:v>오열에서_자연1_1시간 측정_1.jpg; 오열에서_자연1_1시간 측정_2.jpg</x:v>
      </x:c>
      <x:c r="R20" t="str">
        <x:v>기존 Excel 대응</x:v>
      </x:c>
      <x:c r="S20" t="str"/>
    </x:row>
    <x:row r="21" ht="15" hidden="0" customHeight="1">
      <x:c r="A21" t="str">
        <x:v>NATURAL_1H_R1</x:v>
      </x:c>
      <x:c r="B21" t="str">
        <x:v>일반</x:v>
      </x:c>
      <x:c r="C21" t="str">
        <x:v>오픈열람실2</x:v>
      </x:c>
      <x:c r="D21" t="str">
        <x:v>자연자료실1 AP</x:v>
      </x:c>
      <x:c r="E21" t="str">
        <x:v>고정</x:v>
      </x:c>
      <x:c r="F21" t="n">
        <x:v>60</x:v>
      </x:c>
      <x:c r="G21" t="n">
        <x:v>1</x:v>
      </x:c>
      <x:c r="H21" t="n">
        <x:v>20</x:v>
      </x:c>
      <x:c r="I21" s="62" t="n">
        <x:v>-80</x:v>
      </x:c>
      <x:c r="J21" s="62" t="n">
        <x:v>960.75</x:v>
      </x:c>
      <x:c r="K21" s="62" t="n">
        <x:v>19</x:v>
      </x:c>
      <x:c r="L21" s="62" t="n">
        <x:v>3</x:v>
      </x:c>
      <x:c r="M21" s="62" t="n">
        <x:v>0</x:v>
      </x:c>
      <x:c r="N21" s="62" t="n">
        <x:v>6.7025</x:v>
      </x:c>
      <x:c r="O21" s="62" t="n">
        <x:v>4.7976</x:v>
      </x:c>
      <x:c r="P21" s="62" t="n">
        <x:f>IF(OR(N21="",O21=""),"",2*N21*O21/(N21+O21))</x:f>
        <x:v>5.592284241006599</x:v>
      </x:c>
      <x:c r="Q21" t="str">
        <x:v>오열에서_자연1_1시간 측정_1.jpg; 오열에서_자연1_1시간 측정_2.jpg</x:v>
      </x:c>
      <x:c r="R21" t="str">
        <x:v>기존 Excel 대응</x:v>
      </x:c>
      <x:c r="S21" t="str"/>
    </x:row>
    <x:row r="22" ht="15" hidden="0" customHeight="1">
      <x:c r="A22" t="str">
        <x:v>NATURAL_1H_R1</x:v>
      </x:c>
      <x:c r="B22" t="str">
        <x:v>일반</x:v>
      </x:c>
      <x:c r="C22" t="str">
        <x:v>오픈열람실2</x:v>
      </x:c>
      <x:c r="D22" t="str">
        <x:v>자연자료실1 AP</x:v>
      </x:c>
      <x:c r="E22" t="str">
        <x:v>고정</x:v>
      </x:c>
      <x:c r="F22" t="n">
        <x:v>60</x:v>
      </x:c>
      <x:c r="G22" t="n">
        <x:v>1</x:v>
      </x:c>
      <x:c r="H22" t="n">
        <x:v>21</x:v>
      </x:c>
      <x:c r="I22" s="62" t="n">
        <x:v>-81</x:v>
      </x:c>
      <x:c r="J22" s="62" t="n">
        <x:v>960.75</x:v>
      </x:c>
      <x:c r="K22" s="62" t="n">
        <x:v>19</x:v>
      </x:c>
      <x:c r="L22" s="62" t="n">
        <x:v>3</x:v>
      </x:c>
      <x:c r="M22" s="62" t="n">
        <x:v>0</x:v>
      </x:c>
      <x:c r="N22" s="62" t="n">
        <x:v>7.9521</x:v>
      </x:c>
      <x:c r="O22" s="62" t="n">
        <x:v>5.8633</x:v>
      </x:c>
      <x:c r="P22" s="62" t="n">
        <x:f>IF(OR(N22="",O22=""),"",2*N22*O22/(N22+O22))</x:f>
        <x:v>6.749793408804667</x:v>
      </x:c>
      <x:c r="Q22" t="str">
        <x:v>오열에서_자연1_1시간 측정_1.jpg; 오열에서_자연1_1시간 측정_2.jpg</x:v>
      </x:c>
      <x:c r="R22" t="str">
        <x:v>기존 Excel 대응</x:v>
      </x:c>
      <x:c r="S22" t="str"/>
    </x:row>
    <x:row r="23" ht="15" hidden="0" customHeight="1">
      <x:c r="A23" t="str">
        <x:v>NATURAL_1H_R1</x:v>
      </x:c>
      <x:c r="B23" t="str">
        <x:v>일반</x:v>
      </x:c>
      <x:c r="C23" t="str">
        <x:v>오픈열람실2</x:v>
      </x:c>
      <x:c r="D23" t="str">
        <x:v>자연자료실1 AP</x:v>
      </x:c>
      <x:c r="E23" t="str">
        <x:v>고정</x:v>
      </x:c>
      <x:c r="F23" t="n">
        <x:v>60</x:v>
      </x:c>
      <x:c r="G23" t="n">
        <x:v>1</x:v>
      </x:c>
      <x:c r="H23" t="n">
        <x:v>22</x:v>
      </x:c>
      <x:c r="I23" s="62" t="n">
        <x:v>-97</x:v>
      </x:c>
      <x:c r="J23" s="62" t="n">
        <x:v>960.75</x:v>
      </x:c>
      <x:c r="K23" s="62" t="n">
        <x:v>37</x:v>
      </x:c>
      <x:c r="L23" s="62" t="n">
        <x:v>6</x:v>
      </x:c>
      <x:c r="M23" s="62" t="n">
        <x:v>0</x:v>
      </x:c>
      <x:c r="N23" s="62" t="n">
        <x:v>6.0704</x:v>
      </x:c>
      <x:c r="O23" s="62" t="n">
        <x:v>4.5778</x:v>
      </x:c>
      <x:c r="P23" s="62" t="n">
        <x:f>IF(OR(N23="",O23=""),"",2*N23*O23/(N23+O23))</x:f>
        <x:v>5.219488198944423</x:v>
      </x:c>
      <x:c r="Q23" t="str">
        <x:v>오열에서_자연1_1시간 측정_1.jpg; 오열에서_자연1_1시간 측정_2.jpg</x:v>
      </x:c>
      <x:c r="R23" t="str">
        <x:v>기존 Excel 대응</x:v>
      </x:c>
      <x:c r="S23" t="str"/>
    </x:row>
    <x:row r="24" ht="15" hidden="0" customHeight="1">
      <x:c r="A24" t="str">
        <x:v>NATURAL_1H_R1</x:v>
      </x:c>
      <x:c r="B24" t="str">
        <x:v>일반</x:v>
      </x:c>
      <x:c r="C24" t="str">
        <x:v>오픈열람실2</x:v>
      </x:c>
      <x:c r="D24" t="str">
        <x:v>자연자료실1 AP</x:v>
      </x:c>
      <x:c r="E24" t="str">
        <x:v>고정</x:v>
      </x:c>
      <x:c r="F24" t="n">
        <x:v>60</x:v>
      </x:c>
      <x:c r="G24" t="n">
        <x:v>1</x:v>
      </x:c>
      <x:c r="H24" t="n">
        <x:v>23</x:v>
      </x:c>
      <x:c r="I24" s="62" t="n">
        <x:v>-80</x:v>
      </x:c>
      <x:c r="J24" s="62" t="n">
        <x:v>960.75</x:v>
      </x:c>
      <x:c r="K24" s="62" t="n">
        <x:v>14</x:v>
      </x:c>
      <x:c r="L24" s="62" t="n">
        <x:v>4</x:v>
      </x:c>
      <x:c r="M24" s="62" t="n">
        <x:v>0</x:v>
      </x:c>
      <x:c r="N24" s="62" t="n">
        <x:v>7.7435</x:v>
      </x:c>
      <x:c r="O24" s="62" t="n">
        <x:v>8.774</x:v>
      </x:c>
      <x:c r="P24" s="62" t="n">
        <x:f>IF(OR(N24="",O24=""),"",2*N24*O24/(N24+O24))</x:f>
        <x:v>8.226604389284093</x:v>
      </x:c>
      <x:c r="Q24" t="str">
        <x:v>오열에서_자연1_1시간 측정_1.jpg; 오열에서_자연1_1시간 측정_2.jpg</x:v>
      </x:c>
      <x:c r="R24" t="str">
        <x:v>기존 Excel 대응</x:v>
      </x:c>
      <x:c r="S24" t="str"/>
    </x:row>
    <x:row r="25" ht="15" hidden="0" customHeight="1">
      <x:c r="A25" t="str">
        <x:v>NATURAL_1H_R1</x:v>
      </x:c>
      <x:c r="B25" t="str">
        <x:v>일반</x:v>
      </x:c>
      <x:c r="C25" t="str">
        <x:v>오픈열람실2</x:v>
      </x:c>
      <x:c r="D25" t="str">
        <x:v>자연자료실1 AP</x:v>
      </x:c>
      <x:c r="E25" t="str">
        <x:v>고정</x:v>
      </x:c>
      <x:c r="F25" t="n">
        <x:v>60</x:v>
      </x:c>
      <x:c r="G25" t="n">
        <x:v>1</x:v>
      </x:c>
      <x:c r="H25" t="n">
        <x:v>24</x:v>
      </x:c>
      <x:c r="I25" s="62" t="n">
        <x:v>-81</x:v>
      </x:c>
      <x:c r="J25" s="62" t="n">
        <x:v>960.75</x:v>
      </x:c>
      <x:c r="K25" s="62" t="n">
        <x:v>11</x:v>
      </x:c>
      <x:c r="L25" s="62" t="n">
        <x:v>4</x:v>
      </x:c>
      <x:c r="M25" s="62" t="n">
        <x:v>0</x:v>
      </x:c>
      <x:c r="N25" s="62" t="n">
        <x:v>14.01</x:v>
      </x:c>
      <x:c r="O25" s="62" t="n">
        <x:v>11.2918</x:v>
      </x:c>
      <x:c r="P25" s="62" t="n">
        <x:f>IF(OR(N25="",O25=""),"",2*N25*O25/(N25+O25))</x:f>
        <x:v>12.504890403054327</x:v>
      </x:c>
      <x:c r="Q25" t="str">
        <x:v>오열에서_자연1_1시간 측정_1.jpg; 오열에서_자연1_1시간 측정_2.jpg</x:v>
      </x:c>
      <x:c r="R25" t="str">
        <x:v>기존 Excel 대응</x:v>
      </x:c>
      <x:c r="S25" t="str"/>
    </x:row>
    <x:row r="26" ht="15" hidden="0" customHeight="1">
      <x:c r="A26" t="str">
        <x:v>NATURAL_1H_R1</x:v>
      </x:c>
      <x:c r="B26" t="str">
        <x:v>일반</x:v>
      </x:c>
      <x:c r="C26" t="str">
        <x:v>오픈열람실2</x:v>
      </x:c>
      <x:c r="D26" t="str">
        <x:v>자연자료실1 AP</x:v>
      </x:c>
      <x:c r="E26" t="str">
        <x:v>고정</x:v>
      </x:c>
      <x:c r="F26" t="n">
        <x:v>60</x:v>
      </x:c>
      <x:c r="G26" t="n">
        <x:v>1</x:v>
      </x:c>
      <x:c r="H26" t="n">
        <x:v>25</x:v>
      </x:c>
      <x:c r="I26" s="62" t="n">
        <x:v>-80</x:v>
      </x:c>
      <x:c r="J26" s="62" t="n">
        <x:v>960.75</x:v>
      </x:c>
      <x:c r="K26" s="62" t="n">
        <x:v>23</x:v>
      </x:c>
      <x:c r="L26" s="62" t="n">
        <x:v>4</x:v>
      </x:c>
      <x:c r="M26" s="62" t="n">
        <x:v>0</x:v>
      </x:c>
      <x:c r="N26" s="62" t="n">
        <x:v>9.6264</x:v>
      </x:c>
      <x:c r="O26" s="62" t="n">
        <x:v>4.5956</x:v>
      </x:c>
      <x:c r="P26" s="62" t="n">
        <x:f>IF(OR(N26="",O26=""),"",2*N26*O26/(N26+O26))</x:f>
        <x:v>6.221218371537055</x:v>
      </x:c>
      <x:c r="Q26" t="str">
        <x:v>오열에서_자연1_1시간 측정_1.jpg; 오열에서_자연1_1시간 측정_2.jpg</x:v>
      </x:c>
      <x:c r="R26" t="str">
        <x:v>기존 Excel 대응</x:v>
      </x:c>
      <x:c r="S26" t="str"/>
    </x:row>
    <x:row r="27" ht="15" hidden="0" customHeight="1">
      <x:c r="A27" t="str">
        <x:v>NATURAL_1H_R1</x:v>
      </x:c>
      <x:c r="B27" t="str">
        <x:v>일반</x:v>
      </x:c>
      <x:c r="C27" t="str">
        <x:v>오픈열람실2</x:v>
      </x:c>
      <x:c r="D27" t="str">
        <x:v>자연자료실1 AP</x:v>
      </x:c>
      <x:c r="E27" t="str">
        <x:v>고정</x:v>
      </x:c>
      <x:c r="F27" t="n">
        <x:v>60</x:v>
      </x:c>
      <x:c r="G27" t="n">
        <x:v>1</x:v>
      </x:c>
      <x:c r="H27" t="n">
        <x:v>26</x:v>
      </x:c>
      <x:c r="I27" s="62" t="n">
        <x:v>-80</x:v>
      </x:c>
      <x:c r="J27" s="62" t="n">
        <x:v>960.75</x:v>
      </x:c>
      <x:c r="K27" s="62" t="n">
        <x:v>17</x:v>
      </x:c>
      <x:c r="L27" s="62" t="n">
        <x:v>4</x:v>
      </x:c>
      <x:c r="M27" s="62" t="n">
        <x:v>0</x:v>
      </x:c>
      <x:c r="N27" s="62" t="n">
        <x:v>9.4196</x:v>
      </x:c>
      <x:c r="O27" s="62" t="n">
        <x:v>6.0781</x:v>
      </x:c>
      <x:c r="P27" s="62" t="n">
        <x:f>IF(OR(N27="",O27=""),"",2*N27*O27/(N27+O27))</x:f>
        <x:v>7.388615182898107</x:v>
      </x:c>
      <x:c r="Q27" t="str">
        <x:v>오열에서_자연1_1시간 측정_1.jpg; 오열에서_자연1_1시간 측정_2.jpg</x:v>
      </x:c>
      <x:c r="R27" t="str">
        <x:v>기존 Excel 대응</x:v>
      </x:c>
      <x:c r="S27" t="str"/>
    </x:row>
    <x:row r="28" ht="15" hidden="0" customHeight="1">
      <x:c r="A28" t="str">
        <x:v>NATURAL_1H_R1</x:v>
      </x:c>
      <x:c r="B28" t="str">
        <x:v>일반</x:v>
      </x:c>
      <x:c r="C28" t="str">
        <x:v>오픈열람실2</x:v>
      </x:c>
      <x:c r="D28" t="str">
        <x:v>자연자료실1 AP</x:v>
      </x:c>
      <x:c r="E28" t="str">
        <x:v>고정</x:v>
      </x:c>
      <x:c r="F28" t="n">
        <x:v>60</x:v>
      </x:c>
      <x:c r="G28" t="n">
        <x:v>1</x:v>
      </x:c>
      <x:c r="H28" t="n">
        <x:v>27</x:v>
      </x:c>
      <x:c r="I28" s="62" t="n">
        <x:v>-81</x:v>
      </x:c>
      <x:c r="J28" s="62" t="n">
        <x:v>960.75</x:v>
      </x:c>
      <x:c r="K28" s="62" t="n">
        <x:v>16</x:v>
      </x:c>
      <x:c r="L28" s="62" t="n">
        <x:v>6</x:v>
      </x:c>
      <x:c r="M28" s="62" t="n">
        <x:v>0</x:v>
      </x:c>
      <x:c r="N28" s="62" t="n">
        <x:v>15.0614</x:v>
      </x:c>
      <x:c r="O28" s="62" t="n">
        <x:v>5.4291</x:v>
      </x:c>
      <x:c r="P28" s="62" t="n">
        <x:f>IF(OR(N28="",O28=""),"",2*N28*O28/(N28+O28))</x:f>
        <x:v>7.981244648983676</x:v>
      </x:c>
      <x:c r="Q28" t="str">
        <x:v>오열에서_자연1_1시간 측정_1.jpg; 오열에서_자연1_1시간 측정_2.jpg</x:v>
      </x:c>
      <x:c r="R28" t="str">
        <x:v>기존 Excel 대응</x:v>
      </x:c>
      <x:c r="S28" t="str"/>
    </x:row>
    <x:row r="29" ht="15" hidden="0" customHeight="1">
      <x:c r="A29" t="str">
        <x:v>NATURAL_1H_R1</x:v>
      </x:c>
      <x:c r="B29" t="str">
        <x:v>일반</x:v>
      </x:c>
      <x:c r="C29" t="str">
        <x:v>오픈열람실2</x:v>
      </x:c>
      <x:c r="D29" t="str">
        <x:v>자연자료실1 AP</x:v>
      </x:c>
      <x:c r="E29" t="str">
        <x:v>고정</x:v>
      </x:c>
      <x:c r="F29" t="n">
        <x:v>60</x:v>
      </x:c>
      <x:c r="G29" t="n">
        <x:v>1</x:v>
      </x:c>
      <x:c r="H29" t="n">
        <x:v>28</x:v>
      </x:c>
      <x:c r="I29" s="62" t="n">
        <x:v>-80</x:v>
      </x:c>
      <x:c r="J29" s="62" t="n">
        <x:v>960.75</x:v>
      </x:c>
      <x:c r="K29" s="62" t="n">
        <x:v>27</x:v>
      </x:c>
      <x:c r="L29" s="62" t="n">
        <x:v>5</x:v>
      </x:c>
      <x:c r="M29" s="62" t="n">
        <x:v>0</x:v>
      </x:c>
      <x:c r="N29" s="62" t="n">
        <x:v>7.9507</x:v>
      </x:c>
      <x:c r="O29" s="62" t="n">
        <x:v>6.6695</x:v>
      </x:c>
      <x:c r="P29" s="62" t="n">
        <x:f>IF(OR(N29="",O29=""),"",2*N29*O29/(N29+O29))</x:f>
        <x:v>7.253962825405945</x:v>
      </x:c>
      <x:c r="Q29" t="str">
        <x:v>오열에서_자연1_1시간 측정_1.jpg; 오열에서_자연1_1시간 측정_2.jpg</x:v>
      </x:c>
      <x:c r="R29" t="str">
        <x:v>기존 Excel 대응</x:v>
      </x:c>
      <x:c r="S29" t="str"/>
    </x:row>
    <x:row r="30" ht="15" hidden="0" customHeight="1">
      <x:c r="A30" t="str">
        <x:v>NATURAL_1H_R1</x:v>
      </x:c>
      <x:c r="B30" t="str">
        <x:v>일반</x:v>
      </x:c>
      <x:c r="C30" t="str">
        <x:v>오픈열람실2</x:v>
      </x:c>
      <x:c r="D30" t="str">
        <x:v>자연자료실1 AP</x:v>
      </x:c>
      <x:c r="E30" t="str">
        <x:v>고정</x:v>
      </x:c>
      <x:c r="F30" t="n">
        <x:v>60</x:v>
      </x:c>
      <x:c r="G30" t="n">
        <x:v>1</x:v>
      </x:c>
      <x:c r="H30" t="n">
        <x:v>29</x:v>
      </x:c>
      <x:c r="I30" s="62" t="n">
        <x:v>-80</x:v>
      </x:c>
      <x:c r="J30" s="62" t="n">
        <x:v>960.75</x:v>
      </x:c>
      <x:c r="K30" s="62" t="n">
        <x:v>17</x:v>
      </x:c>
      <x:c r="L30" s="62" t="n">
        <x:v>4</x:v>
      </x:c>
      <x:c r="M30" s="62" t="n">
        <x:v>0</x:v>
      </x:c>
      <x:c r="N30" s="62" t="n">
        <x:v>17.5498</x:v>
      </x:c>
      <x:c r="O30" s="62" t="n">
        <x:v>8.3829</x:v>
      </x:c>
      <x:c r="P30" s="62" t="n">
        <x:f>IF(OR(N30="",O30=""),"",2*N30*O30/(N30+O30))</x:f>
        <x:v>11.346155118441196</x:v>
      </x:c>
      <x:c r="Q30" t="str">
        <x:v>오열에서_자연1_1시간 측정_1.jpg; 오열에서_자연1_1시간 측정_2.jpg</x:v>
      </x:c>
      <x:c r="R30" t="str">
        <x:v>기존 Excel 대응</x:v>
      </x:c>
      <x:c r="S30" t="str"/>
    </x:row>
    <x:row r="31" ht="15" hidden="0" customHeight="1">
      <x:c r="A31" t="str">
        <x:v>NATURAL_1H_R1</x:v>
      </x:c>
      <x:c r="B31" t="str">
        <x:v>일반</x:v>
      </x:c>
      <x:c r="C31" t="str">
        <x:v>오픈열람실2</x:v>
      </x:c>
      <x:c r="D31" t="str">
        <x:v>자연자료실1 AP</x:v>
      </x:c>
      <x:c r="E31" t="str">
        <x:v>고정</x:v>
      </x:c>
      <x:c r="F31" t="n">
        <x:v>60</x:v>
      </x:c>
      <x:c r="G31" t="n">
        <x:v>1</x:v>
      </x:c>
      <x:c r="H31" t="n">
        <x:v>30</x:v>
      </x:c>
      <x:c r="I31" s="62" t="n">
        <x:v>-80</x:v>
      </x:c>
      <x:c r="J31" s="62" t="n">
        <x:v>960.75</x:v>
      </x:c>
      <x:c r="K31" s="62" t="n">
        <x:v>13</x:v>
      </x:c>
      <x:c r="L31" s="62" t="n">
        <x:v>4</x:v>
      </x:c>
      <x:c r="M31" s="62" t="n">
        <x:v>0</x:v>
      </x:c>
      <x:c r="N31" s="62" t="n">
        <x:v>12.5695</x:v>
      </x:c>
      <x:c r="O31" s="62" t="n">
        <x:v>8.1606</x:v>
      </x:c>
      <x:c r="P31" s="62" t="n">
        <x:f>IF(OR(N31="",O31=""),"",2*N31*O31/(N31+O31))</x:f>
        <x:v>9.896205199203091</x:v>
      </x:c>
      <x:c r="Q31" t="str">
        <x:v>오열에서_자연1_1시간 측정_1.jpg; 오열에서_자연1_1시간 측정_2.jpg</x:v>
      </x:c>
      <x:c r="R31" t="str">
        <x:v>기존 Excel 대응</x:v>
      </x:c>
      <x:c r="S31" t="str"/>
    </x:row>
    <x:row r="32" ht="15" hidden="0" customHeight="1">
      <x:c r="A32" t="str">
        <x:v>NATURAL_1H_R1</x:v>
      </x:c>
      <x:c r="B32" t="str">
        <x:v>일반</x:v>
      </x:c>
      <x:c r="C32" t="str">
        <x:v>오픈열람실2</x:v>
      </x:c>
      <x:c r="D32" t="str">
        <x:v>자연자료실1 AP</x:v>
      </x:c>
      <x:c r="E32" t="str">
        <x:v>고정</x:v>
      </x:c>
      <x:c r="F32" t="n">
        <x:v>60</x:v>
      </x:c>
      <x:c r="G32" t="n">
        <x:v>1</x:v>
      </x:c>
      <x:c r="H32" t="n">
        <x:v>31</x:v>
      </x:c>
      <x:c r="I32" s="62" t="n">
        <x:v>-80</x:v>
      </x:c>
      <x:c r="J32" s="62" t="n">
        <x:v>960.75</x:v>
      </x:c>
      <x:c r="K32" s="62" t="n">
        <x:v>12</x:v>
      </x:c>
      <x:c r="L32" s="62" t="n">
        <x:v>4</x:v>
      </x:c>
      <x:c r="M32" s="62" t="n">
        <x:v>0</x:v>
      </x:c>
      <x:c r="N32" s="62" t="n">
        <x:v>8.3745</x:v>
      </x:c>
      <x:c r="O32" s="62" t="n">
        <x:v>5.2258</x:v>
      </x:c>
      <x:c r="P32" s="62" t="n">
        <x:f>IF(OR(N32="",O32=""),"",2*N32*O32/(N32+O32))</x:f>
        <x:v>6.435661286883377</x:v>
      </x:c>
      <x:c r="Q32" t="str">
        <x:v>오열에서_자연1_1시간 측정_1.jpg; 오열에서_자연1_1시간 측정_2.jpg</x:v>
      </x:c>
      <x:c r="R32" t="str">
        <x:v>기존 Excel 대응</x:v>
      </x:c>
      <x:c r="S32" t="str"/>
    </x:row>
    <x:row r="33" ht="15" hidden="0" customHeight="1">
      <x:c r="A33" t="str">
        <x:v>NATURAL_1H_R1</x:v>
      </x:c>
      <x:c r="B33" t="str">
        <x:v>일반</x:v>
      </x:c>
      <x:c r="C33" t="str">
        <x:v>오픈열람실2</x:v>
      </x:c>
      <x:c r="D33" t="str">
        <x:v>자연자료실1 AP</x:v>
      </x:c>
      <x:c r="E33" t="str">
        <x:v>고정</x:v>
      </x:c>
      <x:c r="F33" t="n">
        <x:v>60</x:v>
      </x:c>
      <x:c r="G33" t="n">
        <x:v>1</x:v>
      </x:c>
      <x:c r="H33" t="n">
        <x:v>32</x:v>
      </x:c>
      <x:c r="I33" s="62" t="n">
        <x:v>-81</x:v>
      </x:c>
      <x:c r="J33" s="62" t="n">
        <x:v>960.75</x:v>
      </x:c>
      <x:c r="K33" s="62" t="n">
        <x:v>16</x:v>
      </x:c>
      <x:c r="L33" s="62" t="n">
        <x:v>4</x:v>
      </x:c>
      <x:c r="M33" s="62" t="n">
        <x:v>0</x:v>
      </x:c>
      <x:c r="N33" s="62" t="n">
        <x:v>8.5954</x:v>
      </x:c>
      <x:c r="O33" s="62" t="n">
        <x:v>7.5245</x:v>
      </x:c>
      <x:c r="P33" s="62" t="n">
        <x:f>IF(OR(N33="",O33=""),"",2*N33*O33/(N33+O33))</x:f>
        <x:v>8.024378228152779</x:v>
      </x:c>
      <x:c r="Q33" t="str">
        <x:v>오열에서_자연1_1시간 측정_1.jpg; 오열에서_자연1_1시간 측정_2.jpg</x:v>
      </x:c>
      <x:c r="R33" t="str">
        <x:v>기존 Excel 대응</x:v>
      </x:c>
      <x:c r="S33" t="str"/>
    </x:row>
    <x:row r="34" ht="15" hidden="0" customHeight="1">
      <x:c r="A34" t="str">
        <x:v>NATURAL_1H_R1</x:v>
      </x:c>
      <x:c r="B34" t="str">
        <x:v>일반</x:v>
      </x:c>
      <x:c r="C34" t="str">
        <x:v>오픈열람실2</x:v>
      </x:c>
      <x:c r="D34" t="str">
        <x:v>자연자료실1 AP</x:v>
      </x:c>
      <x:c r="E34" t="str">
        <x:v>고정</x:v>
      </x:c>
      <x:c r="F34" t="n">
        <x:v>60</x:v>
      </x:c>
      <x:c r="G34" t="n">
        <x:v>1</x:v>
      </x:c>
      <x:c r="H34" t="n">
        <x:v>33</x:v>
      </x:c>
      <x:c r="I34" s="62" t="n">
        <x:v>-93</x:v>
      </x:c>
      <x:c r="J34" s="62" t="n">
        <x:v>960.75</x:v>
      </x:c>
      <x:c r="K34" s="62" t="n">
        <x:v>19</x:v>
      </x:c>
      <x:c r="L34" s="62" t="n">
        <x:v>5</x:v>
      </x:c>
      <x:c r="M34" s="62" t="n">
        <x:v>0</x:v>
      </x:c>
      <x:c r="N34" s="62" t="n">
        <x:v>9.2099</x:v>
      </x:c>
      <x:c r="O34" s="62" t="n">
        <x:v>7.9434</x:v>
      </x:c>
      <x:c r="P34" s="62" t="n">
        <x:f>IF(OR(N34="",O34=""),"",2*N34*O34/(N34+O34))</x:f>
        <x:v>8.52989449960066</x:v>
      </x:c>
      <x:c r="Q34" t="str">
        <x:v>오열에서_자연1_1시간 측정_1.jpg; 오열에서_자연1_1시간 측정_2.jpg</x:v>
      </x:c>
      <x:c r="R34" t="str">
        <x:v>기존 Excel 대응</x:v>
      </x:c>
      <x:c r="S34" t="str"/>
    </x:row>
    <x:row r="35" ht="15" hidden="0" customHeight="1">
      <x:c r="A35" t="str">
        <x:v>NATURAL_1H_R1</x:v>
      </x:c>
      <x:c r="B35" t="str">
        <x:v>일반</x:v>
      </x:c>
      <x:c r="C35" t="str">
        <x:v>오픈열람실2</x:v>
      </x:c>
      <x:c r="D35" t="str">
        <x:v>자연자료실1 AP</x:v>
      </x:c>
      <x:c r="E35" t="str">
        <x:v>고정</x:v>
      </x:c>
      <x:c r="F35" t="n">
        <x:v>60</x:v>
      </x:c>
      <x:c r="G35" t="n">
        <x:v>1</x:v>
      </x:c>
      <x:c r="H35" t="n">
        <x:v>34</x:v>
      </x:c>
      <x:c r="I35" s="62" t="n">
        <x:v>-80</x:v>
      </x:c>
      <x:c r="J35" s="62" t="n">
        <x:v>960.75</x:v>
      </x:c>
      <x:c r="K35" s="62" t="n">
        <x:v>27</x:v>
      </x:c>
      <x:c r="L35" s="62" t="n">
        <x:v>6</x:v>
      </x:c>
      <x:c r="M35" s="62" t="n">
        <x:v>0</x:v>
      </x:c>
      <x:c r="N35" s="62" t="n">
        <x:v>9.8298</x:v>
      </x:c>
      <x:c r="O35" s="62" t="n">
        <x:v>6.0679</x:v>
      </x:c>
      <x:c r="P35" s="62" t="n">
        <x:f>IF(OR(N35="",O35=""),"",2*N35*O35/(N35+O35))</x:f>
        <x:v>7.503757577511212</x:v>
      </x:c>
      <x:c r="Q35" t="str">
        <x:v>오열에서_자연1_1시간 측정_1.jpg; 오열에서_자연1_1시간 측정_2.jpg</x:v>
      </x:c>
      <x:c r="R35" t="str">
        <x:v>기존 Excel 대응</x:v>
      </x:c>
      <x:c r="S35" t="str"/>
    </x:row>
    <x:row r="36" ht="15" hidden="0" customHeight="1">
      <x:c r="A36" t="str">
        <x:v>NATURAL_1H_R1</x:v>
      </x:c>
      <x:c r="B36" t="str">
        <x:v>일반</x:v>
      </x:c>
      <x:c r="C36" t="str">
        <x:v>오픈열람실2</x:v>
      </x:c>
      <x:c r="D36" t="str">
        <x:v>자연자료실1 AP</x:v>
      </x:c>
      <x:c r="E36" t="str">
        <x:v>고정</x:v>
      </x:c>
      <x:c r="F36" t="n">
        <x:v>60</x:v>
      </x:c>
      <x:c r="G36" t="n">
        <x:v>1</x:v>
      </x:c>
      <x:c r="H36" t="n">
        <x:v>35</x:v>
      </x:c>
      <x:c r="I36" s="62" t="n">
        <x:v>-80</x:v>
      </x:c>
      <x:c r="J36" s="62" t="n">
        <x:v>960.75</x:v>
      </x:c>
      <x:c r="K36" s="62" t="n">
        <x:v>27</x:v>
      </x:c>
      <x:c r="L36" s="62" t="n">
        <x:v>5</x:v>
      </x:c>
      <x:c r="M36" s="62" t="n">
        <x:v>0</x:v>
      </x:c>
      <x:c r="N36" s="62" t="n">
        <x:v>17.1709</x:v>
      </x:c>
      <x:c r="O36" s="62" t="n">
        <x:v>8.1616</x:v>
      </x:c>
      <x:c r="P36" s="62" t="n">
        <x:f>IF(OR(N36="",O36=""),"",2*N36*O36/(N36+O36))</x:f>
        <x:v>11.064207436297245</x:v>
      </x:c>
      <x:c r="Q36" t="str">
        <x:v>오열에서_자연1_1시간 측정_1.jpg; 오열에서_자연1_1시간 측정_2.jpg</x:v>
      </x:c>
      <x:c r="R36" t="str">
        <x:v>기존 Excel 대응</x:v>
      </x:c>
      <x:c r="S36" t="str"/>
    </x:row>
    <x:row r="37" ht="15" hidden="0" customHeight="1">
      <x:c r="A37" t="str">
        <x:v>NATURAL_1H_R1</x:v>
      </x:c>
      <x:c r="B37" t="str">
        <x:v>일반</x:v>
      </x:c>
      <x:c r="C37" t="str">
        <x:v>오픈열람실2</x:v>
      </x:c>
      <x:c r="D37" t="str">
        <x:v>자연자료실1 AP</x:v>
      </x:c>
      <x:c r="E37" t="str">
        <x:v>고정</x:v>
      </x:c>
      <x:c r="F37" t="n">
        <x:v>60</x:v>
      </x:c>
      <x:c r="G37" t="n">
        <x:v>1</x:v>
      </x:c>
      <x:c r="H37" t="n">
        <x:v>36</x:v>
      </x:c>
      <x:c r="I37" s="62" t="n">
        <x:v>-81</x:v>
      </x:c>
      <x:c r="J37" s="62" t="n">
        <x:v>960.75</x:v>
      </x:c>
      <x:c r="K37" s="62" t="n">
        <x:v>16</x:v>
      </x:c>
      <x:c r="L37" s="62" t="n">
        <x:v>4</x:v>
      </x:c>
      <x:c r="M37" s="62" t="n">
        <x:v>0</x:v>
      </x:c>
      <x:c r="N37" s="62" t="n">
        <x:v>10.8847</x:v>
      </x:c>
      <x:c r="O37" s="62" t="n">
        <x:v>7.1092</x:v>
      </x:c>
      <x:c r="P37" s="62" t="n">
        <x:f>IF(OR(N37="",O37=""),"",2*N37*O37/(N37+O37))</x:f>
        <x:v>8.600860207070175</x:v>
      </x:c>
      <x:c r="Q37" t="str">
        <x:v>오열에서_자연1_1시간 측정_1.jpg; 오열에서_자연1_1시간 측정_2.jpg</x:v>
      </x:c>
      <x:c r="R37" t="str">
        <x:v>기존 Excel 대응</x:v>
      </x:c>
      <x:c r="S37" t="str"/>
    </x:row>
    <x:row r="38" ht="15" hidden="0" customHeight="1">
      <x:c r="A38" t="str">
        <x:v>NATURAL_1H_R1</x:v>
      </x:c>
      <x:c r="B38" t="str">
        <x:v>일반</x:v>
      </x:c>
      <x:c r="C38" t="str">
        <x:v>오픈열람실2</x:v>
      </x:c>
      <x:c r="D38" t="str">
        <x:v>자연자료실1 AP</x:v>
      </x:c>
      <x:c r="E38" t="str">
        <x:v>고정</x:v>
      </x:c>
      <x:c r="F38" t="n">
        <x:v>60</x:v>
      </x:c>
      <x:c r="G38" t="n">
        <x:v>1</x:v>
      </x:c>
      <x:c r="H38" t="n">
        <x:v>37</x:v>
      </x:c>
      <x:c r="I38" s="62" t="n">
        <x:v>-85</x:v>
      </x:c>
      <x:c r="J38" s="62" t="n">
        <x:v>960.75</x:v>
      </x:c>
      <x:c r="K38" s="62" t="n">
        <x:v>12</x:v>
      </x:c>
      <x:c r="L38" s="62" t="n">
        <x:v>5</x:v>
      </x:c>
      <x:c r="M38" s="62" t="n">
        <x:v>0</x:v>
      </x:c>
      <x:c r="N38" s="62" t="n">
        <x:v>9.8404</x:v>
      </x:c>
      <x:c r="O38" s="62" t="n">
        <x:v>12.7616</x:v>
      </x:c>
      <x:c r="P38" s="62" t="n">
        <x:f>IF(OR(N38="",O38=""),"",2*N38*O38/(N38+O38))</x:f>
        <x:v>11.112224461552076</x:v>
      </x:c>
      <x:c r="Q38" t="str">
        <x:v>오열에서_자연1_1시간 측정_1.jpg; 오열에서_자연1_1시간 측정_2.jpg</x:v>
      </x:c>
      <x:c r="R38" t="str">
        <x:v>기존 Excel 대응</x:v>
      </x:c>
      <x:c r="S38" t="str"/>
    </x:row>
    <x:row r="39" ht="15" hidden="0" customHeight="1">
      <x:c r="A39" t="str">
        <x:v>NATURAL_1H_R1</x:v>
      </x:c>
      <x:c r="B39" t="str">
        <x:v>일반</x:v>
      </x:c>
      <x:c r="C39" t="str">
        <x:v>오픈열람실2</x:v>
      </x:c>
      <x:c r="D39" t="str">
        <x:v>자연자료실1 AP</x:v>
      </x:c>
      <x:c r="E39" t="str">
        <x:v>고정</x:v>
      </x:c>
      <x:c r="F39" t="n">
        <x:v>60</x:v>
      </x:c>
      <x:c r="G39" t="n">
        <x:v>1</x:v>
      </x:c>
      <x:c r="H39" t="n">
        <x:v>38</x:v>
      </x:c>
      <x:c r="I39" s="62" t="n">
        <x:v>-82</x:v>
      </x:c>
      <x:c r="J39" s="62" t="n">
        <x:v>960.75</x:v>
      </x:c>
      <x:c r="K39" s="62" t="n">
        <x:v>13</x:v>
      </x:c>
      <x:c r="L39" s="62" t="n">
        <x:v>3</x:v>
      </x:c>
      <x:c r="M39" s="62" t="n">
        <x:v>0</x:v>
      </x:c>
      <x:c r="N39" s="62" t="n">
        <x:v>8.7824</x:v>
      </x:c>
      <x:c r="O39" s="62" t="n">
        <x:v>8.1484</x:v>
      </x:c>
      <x:c r="P39" s="62" t="n">
        <x:f>IF(OR(N39="",O39=""),"",2*N39*O39/(N39+O39))</x:f>
        <x:v>8.453529444562573</x:v>
      </x:c>
      <x:c r="Q39" t="str">
        <x:v>오열에서_자연1_1시간 측정_1.jpg; 오열에서_자연1_1시간 측정_2.jpg</x:v>
      </x:c>
      <x:c r="R39" t="str">
        <x:v>기존 Excel 대응</x:v>
      </x:c>
      <x:c r="S39" t="str"/>
    </x:row>
    <x:row r="40" ht="15" hidden="0" customHeight="1">
      <x:c r="A40" t="str">
        <x:v>NATURAL_1H_R1</x:v>
      </x:c>
      <x:c r="B40" t="str">
        <x:v>일반</x:v>
      </x:c>
      <x:c r="C40" t="str">
        <x:v>오픈열람실2</x:v>
      </x:c>
      <x:c r="D40" t="str">
        <x:v>자연자료실1 AP</x:v>
      </x:c>
      <x:c r="E40" t="str">
        <x:v>고정</x:v>
      </x:c>
      <x:c r="F40" t="n">
        <x:v>60</x:v>
      </x:c>
      <x:c r="G40" t="n">
        <x:v>1</x:v>
      </x:c>
      <x:c r="H40" t="n">
        <x:v>39</x:v>
      </x:c>
      <x:c r="I40" s="62" t="n">
        <x:v>-80</x:v>
      </x:c>
      <x:c r="J40" s="62" t="n">
        <x:v>960.75</x:v>
      </x:c>
      <x:c r="K40" s="62" t="n">
        <x:v>14</x:v>
      </x:c>
      <x:c r="L40" s="62" t="n">
        <x:v>5</x:v>
      </x:c>
      <x:c r="M40" s="62" t="n">
        <x:v>0</x:v>
      </x:c>
      <x:c r="N40" s="62" t="n">
        <x:v>7.9589</x:v>
      </x:c>
      <x:c r="O40" s="62" t="n">
        <x:v>8.1532</x:v>
      </x:c>
      <x:c r="P40" s="62" t="n">
        <x:f>IF(OR(N40="",O40=""),"",2*N40*O40/(N40+O40))</x:f>
        <x:v>8.054878442909366</x:v>
      </x:c>
      <x:c r="Q40" t="str">
        <x:v>오열에서_자연1_1시간 측정_1.jpg; 오열에서_자연1_1시간 측정_2.jpg</x:v>
      </x:c>
      <x:c r="R40" t="str">
        <x:v>기존 Excel 대응</x:v>
      </x:c>
      <x:c r="S40" t="str"/>
    </x:row>
    <x:row r="41" ht="15" hidden="0" customHeight="1">
      <x:c r="A41" t="str">
        <x:v>NATURAL_1H_R1</x:v>
      </x:c>
      <x:c r="B41" t="str">
        <x:v>일반</x:v>
      </x:c>
      <x:c r="C41" t="str">
        <x:v>오픈열람실2</x:v>
      </x:c>
      <x:c r="D41" t="str">
        <x:v>자연자료실1 AP</x:v>
      </x:c>
      <x:c r="E41" t="str">
        <x:v>고정</x:v>
      </x:c>
      <x:c r="F41" t="n">
        <x:v>60</x:v>
      </x:c>
      <x:c r="G41" t="n">
        <x:v>1</x:v>
      </x:c>
      <x:c r="H41" t="n">
        <x:v>40</x:v>
      </x:c>
      <x:c r="I41" s="62" t="n">
        <x:v>-80</x:v>
      </x:c>
      <x:c r="J41" s="62" t="n">
        <x:v>960.75</x:v>
      </x:c>
      <x:c r="K41" s="62" t="n">
        <x:v>19</x:v>
      </x:c>
      <x:c r="L41" s="62" t="n">
        <x:v>3</x:v>
      </x:c>
      <x:c r="M41" s="62" t="n">
        <x:v>0</x:v>
      </x:c>
      <x:c r="N41" s="62" t="n">
        <x:v>14.6618</x:v>
      </x:c>
      <x:c r="O41" s="62" t="n">
        <x:v>4.5862</x:v>
      </x:c>
      <x:c r="P41" s="62" t="n">
        <x:f>IF(OR(N41="",O41=""),"",2*N41*O41/(N41+O41))</x:f>
        <x:v>6.986902240232752</x:v>
      </x:c>
      <x:c r="Q41" t="str">
        <x:v>오열에서_자연1_1시간 측정_1.jpg; 오열에서_자연1_1시간 측정_2.jpg</x:v>
      </x:c>
      <x:c r="R41" t="str">
        <x:v>기존 Excel 대응</x:v>
      </x:c>
      <x:c r="S41" t="str"/>
    </x:row>
    <x:row r="42" ht="15" hidden="0" customHeight="1">
      <x:c r="A42" t="str">
        <x:v>NATURAL_1H_R1</x:v>
      </x:c>
      <x:c r="B42" t="str">
        <x:v>일반</x:v>
      </x:c>
      <x:c r="C42" t="str">
        <x:v>오픈열람실2</x:v>
      </x:c>
      <x:c r="D42" t="str">
        <x:v>자연자료실1 AP</x:v>
      </x:c>
      <x:c r="E42" t="str">
        <x:v>고정</x:v>
      </x:c>
      <x:c r="F42" t="n">
        <x:v>60</x:v>
      </x:c>
      <x:c r="G42" t="n">
        <x:v>1</x:v>
      </x:c>
      <x:c r="H42" t="n">
        <x:v>41</x:v>
      </x:c>
      <x:c r="I42" s="62" t="n">
        <x:v>-81</x:v>
      </x:c>
      <x:c r="J42" s="62" t="n">
        <x:v>960.75</x:v>
      </x:c>
      <x:c r="K42" s="62" t="n">
        <x:v>16</x:v>
      </x:c>
      <x:c r="L42" s="62" t="n">
        <x:v>4</x:v>
      </x:c>
      <x:c r="M42" s="62" t="n">
        <x:v>0</x:v>
      </x:c>
      <x:c r="N42" s="62" t="n">
        <x:v>11.3116</x:v>
      </x:c>
      <x:c r="O42" s="62" t="n">
        <x:v>7.1237</x:v>
      </x:c>
      <x:c r="P42" s="62" t="n">
        <x:f>IF(OR(N42="",O42=""),"",2*N42*O42/(N42+O42))</x:f>
        <x:v>8.741972728406914</x:v>
      </x:c>
      <x:c r="Q42" t="str">
        <x:v>오열에서_자연1_1시간 측정_1.jpg; 오열에서_자연1_1시간 측정_2.jpg</x:v>
      </x:c>
      <x:c r="R42" t="str">
        <x:v>기존 Excel 대응</x:v>
      </x:c>
      <x:c r="S42" t="str"/>
    </x:row>
    <x:row r="43" ht="15" hidden="0" customHeight="1">
      <x:c r="A43" t="str">
        <x:v>NATURAL_1H_R1</x:v>
      </x:c>
      <x:c r="B43" t="str">
        <x:v>일반</x:v>
      </x:c>
      <x:c r="C43" t="str">
        <x:v>오픈열람실2</x:v>
      </x:c>
      <x:c r="D43" t="str">
        <x:v>자연자료실1 AP</x:v>
      </x:c>
      <x:c r="E43" t="str">
        <x:v>고정</x:v>
      </x:c>
      <x:c r="F43" t="n">
        <x:v>60</x:v>
      </x:c>
      <x:c r="G43" t="n">
        <x:v>1</x:v>
      </x:c>
      <x:c r="H43" t="n">
        <x:v>42</x:v>
      </x:c>
      <x:c r="I43" s="62" t="n">
        <x:v>-82</x:v>
      </x:c>
      <x:c r="J43" s="62" t="n">
        <x:v>960.75</x:v>
      </x:c>
      <x:c r="K43" s="62" t="n">
        <x:v>13</x:v>
      </x:c>
      <x:c r="L43" s="62" t="n">
        <x:v>4</x:v>
      </x:c>
      <x:c r="M43" s="62" t="n">
        <x:v>0</x:v>
      </x:c>
      <x:c r="N43" s="62" t="n">
        <x:v>5.6429</x:v>
      </x:c>
      <x:c r="O43" s="62" t="n">
        <x:v>4.3826</x:v>
      </x:c>
      <x:c r="P43" s="62" t="n">
        <x:f>IF(OR(N43="",O43=""),"",2*N43*O43/(N43+O43))</x:f>
        <x:v>4.933534195800708</x:v>
      </x:c>
      <x:c r="Q43" t="str">
        <x:v>오열에서_자연1_1시간 측정_1.jpg; 오열에서_자연1_1시간 측정_2.jpg</x:v>
      </x:c>
      <x:c r="R43" t="str">
        <x:v>기존 Excel 대응</x:v>
      </x:c>
      <x:c r="S43" t="str"/>
    </x:row>
    <x:row r="44" ht="15" hidden="0" customHeight="1">
      <x:c r="A44" t="str">
        <x:v>NATURAL_1H_R1</x:v>
      </x:c>
      <x:c r="B44" t="str">
        <x:v>일반</x:v>
      </x:c>
      <x:c r="C44" t="str">
        <x:v>오픈열람실2</x:v>
      </x:c>
      <x:c r="D44" t="str">
        <x:v>자연자료실1 AP</x:v>
      </x:c>
      <x:c r="E44" t="str">
        <x:v>고정</x:v>
      </x:c>
      <x:c r="F44" t="n">
        <x:v>60</x:v>
      </x:c>
      <x:c r="G44" t="n">
        <x:v>1</x:v>
      </x:c>
      <x:c r="H44" t="n">
        <x:v>43</x:v>
      </x:c>
      <x:c r="I44" s="62" t="n">
        <x:v>-81</x:v>
      </x:c>
      <x:c r="J44" s="62" t="n">
        <x:v>960.75</x:v>
      </x:c>
      <x:c r="K44" s="62" t="n">
        <x:v>20</x:v>
      </x:c>
      <x:c r="L44" s="62" t="n">
        <x:v>6</x:v>
      </x:c>
      <x:c r="M44" s="62" t="n">
        <x:v>0</x:v>
      </x:c>
      <x:c r="N44" s="62" t="n">
        <x:v>5.8637</x:v>
      </x:c>
      <x:c r="O44" s="62" t="n">
        <x:v>5.4382</x:v>
      </x:c>
      <x:c r="P44" s="62" t="n">
        <x:f>IF(OR(N44="",O44=""),"",2*N44*O44/(N44+O44))</x:f>
        <x:v>5.6429402737592795</x:v>
      </x:c>
      <x:c r="Q44" t="str">
        <x:v>오열에서_자연1_1시간 측정_1.jpg; 오열에서_자연1_1시간 측정_2.jpg</x:v>
      </x:c>
      <x:c r="R44" t="str">
        <x:v>기존 Excel 대응</x:v>
      </x:c>
      <x:c r="S44" t="str"/>
    </x:row>
    <x:row r="45" ht="15" hidden="0" customHeight="1">
      <x:c r="A45" t="str">
        <x:v>NATURAL_1H_R1</x:v>
      </x:c>
      <x:c r="B45" t="str">
        <x:v>일반</x:v>
      </x:c>
      <x:c r="C45" t="str">
        <x:v>오픈열람실2</x:v>
      </x:c>
      <x:c r="D45" t="str">
        <x:v>자연자료실1 AP</x:v>
      </x:c>
      <x:c r="E45" t="str">
        <x:v>고정</x:v>
      </x:c>
      <x:c r="F45" t="n">
        <x:v>60</x:v>
      </x:c>
      <x:c r="G45" t="n">
        <x:v>1</x:v>
      </x:c>
      <x:c r="H45" t="n">
        <x:v>44</x:v>
      </x:c>
      <x:c r="I45" s="62" t="n">
        <x:v>-80</x:v>
      </x:c>
      <x:c r="J45" s="62" t="n">
        <x:v>960.75</x:v>
      </x:c>
      <x:c r="K45" s="62" t="n">
        <x:v>22</x:v>
      </x:c>
      <x:c r="L45" s="62" t="n">
        <x:v>9</x:v>
      </x:c>
      <x:c r="M45" s="62" t="n">
        <x:v>0</x:v>
      </x:c>
      <x:c r="N45" s="62" t="n">
        <x:v>12.3488</x:v>
      </x:c>
      <x:c r="O45" s="62" t="n">
        <x:v>9.2084</x:v>
      </x:c>
      <x:c r="P45" s="62" t="n">
        <x:f>IF(OR(N45="",O45=""),"",2*N45*O45/(N45+O45))</x:f>
        <x:v>10.549857116879743</x:v>
      </x:c>
      <x:c r="Q45" t="str">
        <x:v>오열에서_자연1_1시간 측정_1.jpg; 오열에서_자연1_1시간 측정_2.jpg</x:v>
      </x:c>
      <x:c r="R45" t="str">
        <x:v>기존 Excel 대응</x:v>
      </x:c>
      <x:c r="S45" t="str"/>
    </x:row>
    <x:row r="46" ht="15" hidden="0" customHeight="1">
      <x:c r="A46" t="str">
        <x:v>NATURAL_1H_R1</x:v>
      </x:c>
      <x:c r="B46" t="str">
        <x:v>일반</x:v>
      </x:c>
      <x:c r="C46" t="str">
        <x:v>오픈열람실2</x:v>
      </x:c>
      <x:c r="D46" t="str">
        <x:v>자연자료실1 AP</x:v>
      </x:c>
      <x:c r="E46" t="str">
        <x:v>고정</x:v>
      </x:c>
      <x:c r="F46" t="n">
        <x:v>60</x:v>
      </x:c>
      <x:c r="G46" t="n">
        <x:v>1</x:v>
      </x:c>
      <x:c r="H46" t="n">
        <x:v>45</x:v>
      </x:c>
      <x:c r="I46" s="62" t="n">
        <x:v>-80</x:v>
      </x:c>
      <x:c r="J46" s="62" t="n">
        <x:v>960.75</x:v>
      </x:c>
      <x:c r="K46" s="62" t="n">
        <x:v>54</x:v>
      </x:c>
      <x:c r="L46" s="62" t="n">
        <x:v>7</x:v>
      </x:c>
      <x:c r="M46" s="62" t="n">
        <x:v>0</x:v>
      </x:c>
      <x:c r="N46" s="62" t="n">
        <x:v>5.8573</x:v>
      </x:c>
      <x:c r="O46" s="62" t="n">
        <x:v>5.8535</x:v>
      </x:c>
      <x:c r="P46" s="62" t="n">
        <x:f>IF(OR(N46="",O46=""),"",2*N46*O46/(N46+O46))</x:f>
        <x:v>5.855399383475083</x:v>
      </x:c>
      <x:c r="Q46" t="str">
        <x:v>오열에서_자연1_1시간 측정_1.jpg; 오열에서_자연1_1시간 측정_2.jpg</x:v>
      </x:c>
      <x:c r="R46" t="str">
        <x:v>기존 Excel 대응</x:v>
      </x:c>
      <x:c r="S46" t="str"/>
    </x:row>
    <x:row r="47" ht="15" hidden="0" customHeight="1">
      <x:c r="A47" t="str">
        <x:v>NATURAL_1H_R1</x:v>
      </x:c>
      <x:c r="B47" t="str">
        <x:v>일반</x:v>
      </x:c>
      <x:c r="C47" t="str">
        <x:v>오픈열람실2</x:v>
      </x:c>
      <x:c r="D47" t="str">
        <x:v>자연자료실1 AP</x:v>
      </x:c>
      <x:c r="E47" t="str">
        <x:v>고정</x:v>
      </x:c>
      <x:c r="F47" t="n">
        <x:v>60</x:v>
      </x:c>
      <x:c r="G47" t="n">
        <x:v>1</x:v>
      </x:c>
      <x:c r="H47" t="n">
        <x:v>46</x:v>
      </x:c>
      <x:c r="I47" s="62" t="n">
        <x:v>-80</x:v>
      </x:c>
      <x:c r="J47" s="62" t="n">
        <x:v>960.75</x:v>
      </x:c>
      <x:c r="K47" s="62" t="n">
        <x:v>29</x:v>
      </x:c>
      <x:c r="L47" s="62" t="n">
        <x:v>4</x:v>
      </x:c>
      <x:c r="M47" s="62" t="n">
        <x:v>0</x:v>
      </x:c>
      <x:c r="N47" s="62" t="n">
        <x:v>10.0482</x:v>
      </x:c>
      <x:c r="O47" s="62" t="n">
        <x:v>6.4901</x:v>
      </x:c>
      <x:c r="P47" s="62" t="n">
        <x:f>IF(OR(N47="",O47=""),"",2*N47*O47/(N47+O47))</x:f>
        <x:v>7.886399789579339</x:v>
      </x:c>
      <x:c r="Q47" t="str">
        <x:v>오열에서_자연1_1시간 측정_1.jpg; 오열에서_자연1_1시간 측정_2.jpg</x:v>
      </x:c>
      <x:c r="R47" t="str">
        <x:v>기존 Excel 대응</x:v>
      </x:c>
      <x:c r="S47" t="str"/>
    </x:row>
    <x:row r="48" ht="15" hidden="0" customHeight="1">
      <x:c r="A48" t="str">
        <x:v>NATURAL_1H_R1</x:v>
      </x:c>
      <x:c r="B48" t="str">
        <x:v>일반</x:v>
      </x:c>
      <x:c r="C48" t="str">
        <x:v>오픈열람실2</x:v>
      </x:c>
      <x:c r="D48" t="str">
        <x:v>자연자료실1 AP</x:v>
      </x:c>
      <x:c r="E48" t="str">
        <x:v>고정</x:v>
      </x:c>
      <x:c r="F48" t="n">
        <x:v>60</x:v>
      </x:c>
      <x:c r="G48" t="n">
        <x:v>1</x:v>
      </x:c>
      <x:c r="H48" t="n">
        <x:v>47</x:v>
      </x:c>
      <x:c r="I48" s="62" t="n">
        <x:v>-82</x:v>
      </x:c>
      <x:c r="J48" s="62" t="n">
        <x:v>960.75</x:v>
      </x:c>
      <x:c r="K48" s="62" t="n">
        <x:v>42</x:v>
      </x:c>
      <x:c r="L48" s="62" t="n">
        <x:v>10</x:v>
      </x:c>
      <x:c r="M48" s="62" t="n">
        <x:v>0</x:v>
      </x:c>
      <x:c r="N48" s="62" t="n">
        <x:v>8.3628</x:v>
      </x:c>
      <x:c r="O48" s="62" t="n">
        <x:v>8.1736</x:v>
      </x:c>
      <x:c r="P48" s="62" t="n">
        <x:f>IF(OR(N48="",O48=""),"",2*N48*O48/(N48+O48))</x:f>
        <x:v>8.267117641082702</x:v>
      </x:c>
      <x:c r="Q48" t="str">
        <x:v>오열에서_자연1_1시간 측정_1.jpg; 오열에서_자연1_1시간 측정_2.jpg</x:v>
      </x:c>
      <x:c r="R48" t="str">
        <x:v>기존 Excel 대응</x:v>
      </x:c>
      <x:c r="S48" t="str"/>
    </x:row>
    <x:row r="49" ht="15" hidden="0" customHeight="1">
      <x:c r="A49" t="str">
        <x:v>NATURAL_1H_R1</x:v>
      </x:c>
      <x:c r="B49" t="str">
        <x:v>일반</x:v>
      </x:c>
      <x:c r="C49" t="str">
        <x:v>오픈열람실2</x:v>
      </x:c>
      <x:c r="D49" t="str">
        <x:v>자연자료실1 AP</x:v>
      </x:c>
      <x:c r="E49" t="str">
        <x:v>고정</x:v>
      </x:c>
      <x:c r="F49" t="n">
        <x:v>60</x:v>
      </x:c>
      <x:c r="G49" t="n">
        <x:v>1</x:v>
      </x:c>
      <x:c r="H49" t="n">
        <x:v>48</x:v>
      </x:c>
      <x:c r="I49" s="62" t="n">
        <x:v>-80</x:v>
      </x:c>
      <x:c r="J49" s="62" t="n">
        <x:v>960.75</x:v>
      </x:c>
      <x:c r="K49" s="62" t="n">
        <x:v>29</x:v>
      </x:c>
      <x:c r="L49" s="62" t="n">
        <x:v>5</x:v>
      </x:c>
      <x:c r="M49" s="62" t="n">
        <x:v>0</x:v>
      </x:c>
      <x:c r="N49" s="62" t="n">
        <x:v>4.8107</x:v>
      </x:c>
      <x:c r="O49" s="62" t="n">
        <x:v>4.8025</x:v>
      </x:c>
      <x:c r="P49" s="62" t="n">
        <x:f>IF(OR(N49="",O49=""),"",2*N49*O49/(N49+O49))</x:f>
        <x:v>4.806596502725419</x:v>
      </x:c>
      <x:c r="Q49" t="str">
        <x:v>오열에서_자연1_1시간 측정_1.jpg; 오열에서_자연1_1시간 측정_2.jpg</x:v>
      </x:c>
      <x:c r="R49" t="str">
        <x:v>기존 Excel 대응</x:v>
      </x:c>
      <x:c r="S49" t="str"/>
    </x:row>
    <x:row r="50" ht="15" hidden="0" customHeight="1">
      <x:c r="A50" t="str">
        <x:v>NATURAL_1H_R1</x:v>
      </x:c>
      <x:c r="B50" t="str">
        <x:v>일반</x:v>
      </x:c>
      <x:c r="C50" t="str">
        <x:v>오픈열람실2</x:v>
      </x:c>
      <x:c r="D50" t="str">
        <x:v>자연자료실1 AP</x:v>
      </x:c>
      <x:c r="E50" t="str">
        <x:v>고정</x:v>
      </x:c>
      <x:c r="F50" t="n">
        <x:v>60</x:v>
      </x:c>
      <x:c r="G50" t="n">
        <x:v>1</x:v>
      </x:c>
      <x:c r="H50" t="n">
        <x:v>49</x:v>
      </x:c>
      <x:c r="I50" s="62" t="n">
        <x:v>-81</x:v>
      </x:c>
      <x:c r="J50" s="62" t="n">
        <x:v>960.75</x:v>
      </x:c>
      <x:c r="K50" s="62" t="n">
        <x:v>40</x:v>
      </x:c>
      <x:c r="L50" s="62" t="n">
        <x:v>5</x:v>
      </x:c>
      <x:c r="M50" s="62" t="n">
        <x:v>0</x:v>
      </x:c>
      <x:c r="N50" s="62" t="n">
        <x:v>6.9007</x:v>
      </x:c>
      <x:c r="O50" s="62" t="n">
        <x:v>6.0628</x:v>
      </x:c>
      <x:c r="P50" s="62" t="n">
        <x:f>IF(OR(N50="",O50=""),"",2*N50*O50/(N50+O50))</x:f>
        <x:v>6.45467103174297</x:v>
      </x:c>
      <x:c r="Q50" t="str">
        <x:v>오열에서_자연1_1시간 측정_1.jpg; 오열에서_자연1_1시간 측정_2.jpg</x:v>
      </x:c>
      <x:c r="R50" t="str">
        <x:v>기존 Excel 대응</x:v>
      </x:c>
      <x:c r="S50" t="str"/>
    </x:row>
    <x:row r="51" ht="15" hidden="0" customHeight="1">
      <x:c r="A51" t="str">
        <x:v>NATURAL_1H_R1</x:v>
      </x:c>
      <x:c r="B51" t="str">
        <x:v>일반</x:v>
      </x:c>
      <x:c r="C51" t="str">
        <x:v>오픈열람실2</x:v>
      </x:c>
      <x:c r="D51" t="str">
        <x:v>자연자료실1 AP</x:v>
      </x:c>
      <x:c r="E51" t="str">
        <x:v>고정</x:v>
      </x:c>
      <x:c r="F51" t="n">
        <x:v>60</x:v>
      </x:c>
      <x:c r="G51" t="n">
        <x:v>1</x:v>
      </x:c>
      <x:c r="H51" t="n">
        <x:v>50</x:v>
      </x:c>
      <x:c r="I51" s="62" t="n">
        <x:v>-79</x:v>
      </x:c>
      <x:c r="J51" s="62" t="n">
        <x:v>960.75</x:v>
      </x:c>
      <x:c r="K51" s="62" t="n">
        <x:v>15</x:v>
      </x:c>
      <x:c r="L51" s="62" t="n">
        <x:v>3</x:v>
      </x:c>
      <x:c r="M51" s="62" t="n">
        <x:v>0</x:v>
      </x:c>
      <x:c r="N51" s="62" t="n">
        <x:v>15.2632</x:v>
      </x:c>
      <x:c r="O51" s="62" t="n">
        <x:v>6.6857</x:v>
      </x:c>
      <x:c r="P51" s="62" t="n">
        <x:f>IF(OR(N51="",O51=""),"",2*N51*O51/(N51+O51))</x:f>
        <x:v>9.298431925062303</x:v>
      </x:c>
      <x:c r="Q51" t="str">
        <x:v>오열에서_자연1_1시간 측정_1.jpg; 오열에서_자연1_1시간 측정_2.jpg</x:v>
      </x:c>
      <x:c r="R51" t="str">
        <x:v>기존 Excel 대응</x:v>
      </x:c>
      <x:c r="S51" t="str"/>
    </x:row>
    <x:row r="52" ht="15" hidden="0" customHeight="1">
      <x:c r="A52" t="str">
        <x:v>NATURAL_1H_R1</x:v>
      </x:c>
      <x:c r="B52" t="str">
        <x:v>일반</x:v>
      </x:c>
      <x:c r="C52" t="str">
        <x:v>오픈열람실2</x:v>
      </x:c>
      <x:c r="D52" t="str">
        <x:v>자연자료실1 AP</x:v>
      </x:c>
      <x:c r="E52" t="str">
        <x:v>고정</x:v>
      </x:c>
      <x:c r="F52" t="n">
        <x:v>60</x:v>
      </x:c>
      <x:c r="G52" t="n">
        <x:v>1</x:v>
      </x:c>
      <x:c r="H52" t="n">
        <x:v>51</x:v>
      </x:c>
      <x:c r="I52" s="62" t="n">
        <x:v>-80</x:v>
      </x:c>
      <x:c r="J52" s="62" t="n">
        <x:v>960.75</x:v>
      </x:c>
      <x:c r="K52" s="62" t="n">
        <x:v>13</x:v>
      </x:c>
      <x:c r="L52" s="62" t="n">
        <x:v>7</x:v>
      </x:c>
      <x:c r="M52" s="62" t="n">
        <x:v>0</x:v>
      </x:c>
      <x:c r="N52" s="62" t="n">
        <x:v>11.3278</x:v>
      </x:c>
      <x:c r="O52" s="62" t="n">
        <x:v>7.334</x:v>
      </x:c>
      <x:c r="P52" s="62" t="n">
        <x:f>IF(OR(N52="",O52=""),"",2*N52*O52/(N52+O52))</x:f>
        <x:v>8.903544695581347</x:v>
      </x:c>
      <x:c r="Q52" t="str">
        <x:v>오열에서_자연1_1시간 측정_1.jpg; 오열에서_자연1_1시간 측정_2.jpg</x:v>
      </x:c>
      <x:c r="R52" t="str">
        <x:v>기존 Excel 대응</x:v>
      </x:c>
      <x:c r="S52" t="str"/>
    </x:row>
    <x:row r="53" ht="15" hidden="0" customHeight="1">
      <x:c r="A53" t="str">
        <x:v>NATURAL_1H_R1</x:v>
      </x:c>
      <x:c r="B53" t="str">
        <x:v>일반</x:v>
      </x:c>
      <x:c r="C53" t="str">
        <x:v>오픈열람실2</x:v>
      </x:c>
      <x:c r="D53" t="str">
        <x:v>자연자료실1 AP</x:v>
      </x:c>
      <x:c r="E53" t="str">
        <x:v>고정</x:v>
      </x:c>
      <x:c r="F53" t="n">
        <x:v>60</x:v>
      </x:c>
      <x:c r="G53" t="n">
        <x:v>1</x:v>
      </x:c>
      <x:c r="H53" t="n">
        <x:v>52</x:v>
      </x:c>
      <x:c r="I53" s="62" t="n">
        <x:v>-81</x:v>
      </x:c>
      <x:c r="J53" s="62" t="n">
        <x:v>960.75</x:v>
      </x:c>
      <x:c r="K53" s="62" t="n">
        <x:v>25</x:v>
      </x:c>
      <x:c r="L53" s="62" t="n">
        <x:v>3</x:v>
      </x:c>
      <x:c r="M53" s="62" t="n">
        <x:v>0</x:v>
      </x:c>
      <x:c r="N53" s="62" t="n">
        <x:v>10.0268</x:v>
      </x:c>
      <x:c r="O53" s="62" t="n">
        <x:v>4.6055</x:v>
      </x:c>
      <x:c r="P53" s="62" t="n">
        <x:f>IF(OR(N53="",O53=""),"",2*N53*O53/(N53+O53))</x:f>
        <x:v>6.311848089500624</x:v>
      </x:c>
      <x:c r="Q53" t="str">
        <x:v>오열에서_자연1_1시간 측정_1.jpg; 오열에서_자연1_1시간 측정_2.jpg</x:v>
      </x:c>
      <x:c r="R53" t="str">
        <x:v>기존 Excel 대응</x:v>
      </x:c>
      <x:c r="S53" t="str"/>
    </x:row>
    <x:row r="54" ht="15" hidden="0" customHeight="1">
      <x:c r="A54" t="str">
        <x:v>NATURAL_1H_R1</x:v>
      </x:c>
      <x:c r="B54" t="str">
        <x:v>일반</x:v>
      </x:c>
      <x:c r="C54" t="str">
        <x:v>오픈열람실2</x:v>
      </x:c>
      <x:c r="D54" t="str">
        <x:v>자연자료실1 AP</x:v>
      </x:c>
      <x:c r="E54" t="str">
        <x:v>고정</x:v>
      </x:c>
      <x:c r="F54" t="n">
        <x:v>60</x:v>
      </x:c>
      <x:c r="G54" t="n">
        <x:v>1</x:v>
      </x:c>
      <x:c r="H54" t="n">
        <x:v>53</x:v>
      </x:c>
      <x:c r="I54" s="62" t="n">
        <x:v>-78</x:v>
      </x:c>
      <x:c r="J54" s="62" t="n">
        <x:v>960.75</x:v>
      </x:c>
      <x:c r="K54" s="62" t="n">
        <x:v>22</x:v>
      </x:c>
      <x:c r="L54" s="62" t="n">
        <x:v>6</x:v>
      </x:c>
      <x:c r="M54" s="62" t="n">
        <x:v>0</x:v>
      </x:c>
      <x:c r="N54" s="62" t="n">
        <x:v>10.2555</x:v>
      </x:c>
      <x:c r="O54" s="62" t="n">
        <x:v>7.7507</x:v>
      </x:c>
      <x:c r="P54" s="62" t="n">
        <x:f>IF(OR(N54="",O54=""),"",2*N54*O54/(N54+O54))</x:f>
        <x:v>8.828881590785397</x:v>
      </x:c>
      <x:c r="Q54" t="str">
        <x:v>오열에서_자연1_1시간 측정_1.jpg; 오열에서_자연1_1시간 측정_2.jpg</x:v>
      </x:c>
      <x:c r="R54" t="str">
        <x:v>기존 Excel 대응</x:v>
      </x:c>
      <x:c r="S54" t="str"/>
    </x:row>
    <x:row r="55" ht="15" hidden="0" customHeight="1">
      <x:c r="A55" t="str">
        <x:v>NATURAL_1H_R1</x:v>
      </x:c>
      <x:c r="B55" t="str">
        <x:v>일반</x:v>
      </x:c>
      <x:c r="C55" t="str">
        <x:v>오픈열람실2</x:v>
      </x:c>
      <x:c r="D55" t="str">
        <x:v>자연자료실1 AP</x:v>
      </x:c>
      <x:c r="E55" t="str">
        <x:v>고정</x:v>
      </x:c>
      <x:c r="F55" t="n">
        <x:v>60</x:v>
      </x:c>
      <x:c r="G55" t="n">
        <x:v>1</x:v>
      </x:c>
      <x:c r="H55" t="n">
        <x:v>54</x:v>
      </x:c>
      <x:c r="I55" s="62" t="n">
        <x:v>-80</x:v>
      </x:c>
      <x:c r="J55" s="62" t="n">
        <x:v>960.75</x:v>
      </x:c>
      <x:c r="K55" s="62" t="n">
        <x:v>28</x:v>
      </x:c>
      <x:c r="L55" s="62" t="n">
        <x:v>19</x:v>
      </x:c>
      <x:c r="M55" s="62" t="n">
        <x:v>0</x:v>
      </x:c>
      <x:c r="N55" s="62" t="n">
        <x:v>4.3843</x:v>
      </x:c>
      <x:c r="O55" s="62" t="n">
        <x:v>9.0212</x:v>
      </x:c>
      <x:c r="P55" s="62" t="n">
        <x:f>IF(OR(N55="",O55=""),"",2*N55*O55/(N55+O55))</x:f>
        <x:v>5.900808945582037</x:v>
      </x:c>
      <x:c r="Q55" t="str">
        <x:v>오열에서_자연1_1시간 측정_1.jpg; 오열에서_자연1_1시간 측정_2.jpg</x:v>
      </x:c>
      <x:c r="R55" t="str">
        <x:v>기존 Excel 대응</x:v>
      </x:c>
      <x:c r="S55" t="str"/>
    </x:row>
    <x:row r="56" ht="15" hidden="0" customHeight="1">
      <x:c r="A56" t="str">
        <x:v>NATURAL_1H_R1</x:v>
      </x:c>
      <x:c r="B56" t="str">
        <x:v>일반</x:v>
      </x:c>
      <x:c r="C56" t="str">
        <x:v>오픈열람실2</x:v>
      </x:c>
      <x:c r="D56" t="str">
        <x:v>자연자료실1 AP</x:v>
      </x:c>
      <x:c r="E56" t="str">
        <x:v>고정</x:v>
      </x:c>
      <x:c r="F56" t="n">
        <x:v>60</x:v>
      </x:c>
      <x:c r="G56" t="n">
        <x:v>1</x:v>
      </x:c>
      <x:c r="H56" t="n">
        <x:v>55</x:v>
      </x:c>
      <x:c r="I56" s="62" t="n">
        <x:v>-79</x:v>
      </x:c>
      <x:c r="J56" s="62" t="n">
        <x:v>960.75</x:v>
      </x:c>
      <x:c r="K56" s="62" t="n">
        <x:v>12</x:v>
      </x:c>
      <x:c r="L56" s="62" t="n">
        <x:v>9</x:v>
      </x:c>
      <x:c r="M56" s="62" t="n">
        <x:v>0</x:v>
      </x:c>
      <x:c r="N56" s="62" t="n">
        <x:v>10.4491</x:v>
      </x:c>
      <x:c r="O56" s="62" t="n">
        <x:v>7.7567</x:v>
      </x:c>
      <x:c r="P56" s="62" t="n">
        <x:f>IF(OR(N56="",O56=""),"",2*N56*O56/(N56+O56))</x:f>
        <x:v>8.903814605235695</x:v>
      </x:c>
      <x:c r="Q56" t="str">
        <x:v>오열에서_자연1_1시간 측정_1.jpg; 오열에서_자연1_1시간 측정_2.jpg</x:v>
      </x:c>
      <x:c r="R56" t="str">
        <x:v>기존 Excel 대응</x:v>
      </x:c>
      <x:c r="S56" t="str"/>
    </x:row>
    <x:row r="57" ht="15" hidden="0" customHeight="1">
      <x:c r="A57" t="str">
        <x:v>NATURAL_1H_R1</x:v>
      </x:c>
      <x:c r="B57" t="str">
        <x:v>일반</x:v>
      </x:c>
      <x:c r="C57" t="str">
        <x:v>오픈열람실2</x:v>
      </x:c>
      <x:c r="D57" t="str">
        <x:v>자연자료실1 AP</x:v>
      </x:c>
      <x:c r="E57" t="str">
        <x:v>고정</x:v>
      </x:c>
      <x:c r="F57" t="n">
        <x:v>60</x:v>
      </x:c>
      <x:c r="G57" t="n">
        <x:v>1</x:v>
      </x:c>
      <x:c r="H57" t="n">
        <x:v>56</x:v>
      </x:c>
      <x:c r="I57" s="62" t="n">
        <x:v>-79</x:v>
      </x:c>
      <x:c r="J57" s="62" t="n">
        <x:v>960.75</x:v>
      </x:c>
      <x:c r="K57" s="62" t="n">
        <x:v>20</x:v>
      </x:c>
      <x:c r="L57" s="62" t="n">
        <x:v>11</x:v>
      </x:c>
      <x:c r="M57" s="62" t="n">
        <x:v>0</x:v>
      </x:c>
      <x:c r="N57" s="62" t="n">
        <x:v>12.1423</x:v>
      </x:c>
      <x:c r="O57" s="62" t="n">
        <x:v>8.9983</x:v>
      </x:c>
      <x:c r="P57" s="62" t="n">
        <x:f>IF(OR(N57="",O57=""),"",2*N57*O57/(N57+O57))</x:f>
        <x:v>10.33651439315819</x:v>
      </x:c>
      <x:c r="Q57" t="str">
        <x:v>오열에서_자연1_1시간 측정_1.jpg; 오열에서_자연1_1시간 측정_2.jpg</x:v>
      </x:c>
      <x:c r="R57" t="str">
        <x:v>기존 Excel 대응</x:v>
      </x:c>
      <x:c r="S57" t="str"/>
    </x:row>
    <x:row r="58" ht="15" hidden="0" customHeight="1">
      <x:c r="A58" t="str">
        <x:v>NATURAL_1H_R1</x:v>
      </x:c>
      <x:c r="B58" t="str">
        <x:v>일반</x:v>
      </x:c>
      <x:c r="C58" t="str">
        <x:v>오픈열람실2</x:v>
      </x:c>
      <x:c r="D58" t="str">
        <x:v>자연자료실1 AP</x:v>
      </x:c>
      <x:c r="E58" t="str">
        <x:v>고정</x:v>
      </x:c>
      <x:c r="F58" t="n">
        <x:v>60</x:v>
      </x:c>
      <x:c r="G58" t="n">
        <x:v>1</x:v>
      </x:c>
      <x:c r="H58" t="n">
        <x:v>57</x:v>
      </x:c>
      <x:c r="I58" s="62" t="n">
        <x:v>-79</x:v>
      </x:c>
      <x:c r="J58" s="62" t="n">
        <x:v>960.75</x:v>
      </x:c>
      <x:c r="K58" s="62" t="n">
        <x:v>24</x:v>
      </x:c>
      <x:c r="L58" s="62" t="n">
        <x:v>5</x:v>
      </x:c>
      <x:c r="M58" s="62" t="n">
        <x:v>0</x:v>
      </x:c>
      <x:c r="N58" s="62" t="n">
        <x:v>14.2034</x:v>
      </x:c>
      <x:c r="O58" s="62" t="n">
        <x:v>10.2573</x:v>
      </x:c>
      <x:c r="P58" s="62" t="n">
        <x:f>IF(OR(N58="",O58=""),"",2*N58*O58/(N58+O58))</x:f>
        <x:v>11.912049517797936</x:v>
      </x:c>
      <x:c r="Q58" t="str">
        <x:v>오열에서_자연1_1시간 측정_1.jpg; 오열에서_자연1_1시간 측정_2.jpg</x:v>
      </x:c>
      <x:c r="R58" t="str">
        <x:v>기존 Excel 대응</x:v>
      </x:c>
      <x:c r="S58" t="str"/>
    </x:row>
  </x:sheetData>
  <x:pageMargins left="0.7" right="0.7" top="0.75" bottom="0.75" header="0.3" footer="0.3"/>
  <x:tableParts count="1">
    <x:tablePart xmlns:r="http://schemas.openxmlformats.org/officeDocument/2006/relationships" r:id="R921e8040136248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20" hidden="0" customWidth="1"/>
    <x:col min="5" max="5" width="12" hidden="0" customWidth="1"/>
    <x:col min="6" max="6" width="12" hidden="0" customWidth="1"/>
    <x:col min="7" max="7" width="9" hidden="0" customWidth="1"/>
    <x:col min="8" max="8" width="14" hidden="0" customWidth="1"/>
    <x:col min="9" max="9" width="12" hidden="0" customWidth="1"/>
    <x:col min="10" max="10" width="12" hidden="0" customWidth="1"/>
    <x:col min="11" max="11" width="13" hidden="0" customWidth="1"/>
    <x:col min="12" max="12" width="12" hidden="0" customWidth="1"/>
    <x:col min="13" max="13" width="18" hidden="0" customWidth="1"/>
    <x:col min="14" max="14" width="14" hidden="0" customWidth="1"/>
    <x:col min="15" max="15" width="16" hidden="0" customWidth="1"/>
    <x:col min="16" max="16" width="17" hidden="0" customWidth="1"/>
    <x:col min="17" max="17" width="42" hidden="0" customWidth="1"/>
    <x:col min="18" max="18" width="22" hidden="0" customWidth="1"/>
    <x:col min="19" max="19" width="34" hidden="0" customWidth="1"/>
  </x:cols>
  <x:sheetData>
    <x:row r="1" ht="15" hidden="0" customHeight="1">
      <x:c r="A1" s="6" t="str">
        <x:v>측정세트_ID</x:v>
      </x:c>
      <x:c r="B1" s="6" t="str">
        <x:v>상태</x:v>
      </x:c>
      <x:c r="C1" s="6" t="str">
        <x:v>측정 위치</x:v>
      </x:c>
      <x:c r="D1" s="6" t="str">
        <x:v>대상 AP 구역</x:v>
      </x:c>
      <x:c r="E1" s="6" t="str">
        <x:v>측정 형태</x:v>
      </x:c>
      <x:c r="F1" s="6" t="str">
        <x:v>측정시간_min</x:v>
      </x:c>
      <x:c r="G1" s="6" t="str">
        <x:v>반복</x:v>
      </x:c>
      <x:c r="H1" s="6" t="str">
        <x:v>세트내_측정번호</x:v>
      </x:c>
      <x:c r="I1" s="6" t="str">
        <x:v>RSSI_dBm</x:v>
      </x:c>
      <x:c r="J1" s="6" t="str">
        <x:v>Link_Mbps</x:v>
      </x:c>
      <x:c r="K1" s="6" t="str">
        <x:v>UTIL_percent</x:v>
      </x:c>
      <x:c r="L1" s="6" t="str">
        <x:v>RTT_ms</x:v>
      </x:c>
      <x:c r="M1" s="6" t="str">
        <x:v>PacketLoss_percent</x:v>
      </x:c>
      <x:c r="N1" s="6" t="str">
        <x:v>Upload_Mbps</x:v>
      </x:c>
      <x:c r="O1" s="6" t="str">
        <x:v>Download_Mbps</x:v>
      </x:c>
      <x:c r="P1" s="6" t="str">
        <x:v>Effective_Mbps</x:v>
      </x:c>
      <x:c r="Q1" s="6" t="str">
        <x:v>원본 이미지</x:v>
      </x:c>
      <x:c r="R1" s="6" t="str">
        <x:v>데이터 출처</x:v>
      </x:c>
      <x:c r="S1" s="6" t="str">
        <x:v>검토 메모</x:v>
      </x:c>
    </x:row>
    <x:row r="2" ht="15" hidden="0" customHeight="1">
      <x:c r="A2" t="str">
        <x:v>OPEN2_1H_R1</x:v>
      </x:c>
      <x:c r="B2" t="str">
        <x:v>일반</x:v>
      </x:c>
      <x:c r="C2" t="str">
        <x:v>오픈열람실2</x:v>
      </x:c>
      <x:c r="D2" t="str">
        <x:v>오픈열람실2 AP</x:v>
      </x:c>
      <x:c r="E2" t="str">
        <x:v>고정</x:v>
      </x:c>
      <x:c r="F2" t="n">
        <x:v>60</x:v>
      </x:c>
      <x:c r="G2" t="n">
        <x:v>1</x:v>
      </x:c>
      <x:c r="H2" t="n">
        <x:v>1</x:v>
      </x:c>
      <x:c r="I2" s="62" t="n">
        <x:v>-53</x:v>
      </x:c>
      <x:c r="J2" s="62" t="n">
        <x:v>1201</x:v>
      </x:c>
      <x:c r="K2" s="62" t="n">
        <x:v>38</x:v>
      </x:c>
      <x:c r="L2" s="62" t="n">
        <x:v>5</x:v>
      </x:c>
      <x:c r="M2" s="62" t="n">
        <x:v>0</x:v>
      </x:c>
      <x:c r="N2" s="62" t="n">
        <x:v>54.3944</x:v>
      </x:c>
      <x:c r="O2" s="62" t="n">
        <x:v>103.2158</x:v>
      </x:c>
      <x:c r="P2" s="62" t="n">
        <x:f>IF(OR(N2="",O2=""),"",2*N2*O2/(N2+O2))</x:f>
        <x:v>71.24363158628059</x:v>
      </x:c>
      <x:c r="Q2" t="str">
        <x:v>오열에서_오열2_1시간 측정_1.png; 오열에서_오열2_1시간 측정_2.png</x:v>
      </x:c>
      <x:c r="R2" t="str">
        <x:v>기존 Excel 대응</x:v>
      </x:c>
      <x:c r="S2" t="str"/>
    </x:row>
    <x:row r="3" ht="15" hidden="0" customHeight="1">
      <x:c r="A3" t="str">
        <x:v>OPEN2_1H_R1</x:v>
      </x:c>
      <x:c r="B3" t="str">
        <x:v>일반</x:v>
      </x:c>
      <x:c r="C3" t="str">
        <x:v>오픈열람실2</x:v>
      </x:c>
      <x:c r="D3" t="str">
        <x:v>오픈열람실2 AP</x:v>
      </x:c>
      <x:c r="E3" t="str">
        <x:v>고정</x:v>
      </x:c>
      <x:c r="F3" t="n">
        <x:v>60</x:v>
      </x:c>
      <x:c r="G3" t="n">
        <x:v>1</x:v>
      </x:c>
      <x:c r="H3" t="n">
        <x:v>2</x:v>
      </x:c>
      <x:c r="I3" s="62" t="n">
        <x:v>-53</x:v>
      </x:c>
      <x:c r="J3" s="62" t="n">
        <x:v>1201</x:v>
      </x:c>
      <x:c r="K3" s="62" t="n">
        <x:v>46</x:v>
      </x:c>
      <x:c r="L3" s="62" t="n">
        <x:v>7</x:v>
      </x:c>
      <x:c r="M3" s="62" t="n">
        <x:v>0</x:v>
      </x:c>
      <x:c r="N3" s="62" t="n">
        <x:v>52.1676</x:v>
      </x:c>
      <x:c r="O3" s="62" t="n">
        <x:v>109.4258</x:v>
      </x:c>
      <x:c r="P3" s="62" t="n">
        <x:f>IF(OR(N3="",O3=""),"",2*N3*O3/(N3+O3))</x:f>
        <x:v>70.65240738891563</x:v>
      </x:c>
      <x:c r="Q3" t="str">
        <x:v>오열에서_오열2_1시간 측정_1.png; 오열에서_오열2_1시간 측정_2.png</x:v>
      </x:c>
      <x:c r="R3" t="str">
        <x:v>기존 Excel 대응</x:v>
      </x:c>
      <x:c r="S3" t="str"/>
    </x:row>
    <x:row r="4" ht="15" hidden="0" customHeight="1">
      <x:c r="A4" t="str">
        <x:v>OPEN2_1H_R1</x:v>
      </x:c>
      <x:c r="B4" t="str">
        <x:v>일반</x:v>
      </x:c>
      <x:c r="C4" t="str">
        <x:v>오픈열람실2</x:v>
      </x:c>
      <x:c r="D4" t="str">
        <x:v>오픈열람실2 AP</x:v>
      </x:c>
      <x:c r="E4" t="str">
        <x:v>고정</x:v>
      </x:c>
      <x:c r="F4" t="n">
        <x:v>60</x:v>
      </x:c>
      <x:c r="G4" t="n">
        <x:v>1</x:v>
      </x:c>
      <x:c r="H4" t="n">
        <x:v>3</x:v>
      </x:c>
      <x:c r="I4" s="62" t="n">
        <x:v>-51</x:v>
      </x:c>
      <x:c r="J4" s="62" t="n">
        <x:v>1201</x:v>
      </x:c>
      <x:c r="K4" s="62" t="n">
        <x:v>50</x:v>
      </x:c>
      <x:c r="L4" s="62" t="n">
        <x:v>10</x:v>
      </x:c>
      <x:c r="M4" s="62" t="n">
        <x:v>0</x:v>
      </x:c>
      <x:c r="N4" s="62" t="n">
        <x:v>49.5664</x:v>
      </x:c>
      <x:c r="O4" s="62" t="n">
        <x:v>74.2384</x:v>
      </x:c>
      <x:c r="P4" s="62" t="n">
        <x:f>IF(OR(N4="",O4=""),"",2*N4*O4/(N4+O4))</x:f>
        <x:v>59.444064038874096</x:v>
      </x:c>
      <x:c r="Q4" t="str">
        <x:v>오열에서_오열2_1시간 측정_1.png; 오열에서_오열2_1시간 측정_2.png</x:v>
      </x:c>
      <x:c r="R4" t="str">
        <x:v>기존 Excel 대응</x:v>
      </x:c>
      <x:c r="S4" t="str"/>
    </x:row>
    <x:row r="5" ht="15" hidden="0" customHeight="1">
      <x:c r="A5" t="str">
        <x:v>OPEN2_1H_R1</x:v>
      </x:c>
      <x:c r="B5" t="str">
        <x:v>일반</x:v>
      </x:c>
      <x:c r="C5" t="str">
        <x:v>오픈열람실2</x:v>
      </x:c>
      <x:c r="D5" t="str">
        <x:v>오픈열람실2 AP</x:v>
      </x:c>
      <x:c r="E5" t="str">
        <x:v>고정</x:v>
      </x:c>
      <x:c r="F5" t="n">
        <x:v>60</x:v>
      </x:c>
      <x:c r="G5" t="n">
        <x:v>1</x:v>
      </x:c>
      <x:c r="H5" t="n">
        <x:v>4</x:v>
      </x:c>
      <x:c r="I5" s="62" t="n">
        <x:v>-57</x:v>
      </x:c>
      <x:c r="J5" s="62" t="n">
        <x:v>1201</x:v>
      </x:c>
      <x:c r="K5" s="62" t="n">
        <x:v>23</x:v>
      </x:c>
      <x:c r="L5" s="62" t="n">
        <x:v>7</x:v>
      </x:c>
      <x:c r="M5" s="62" t="n">
        <x:v>0</x:v>
      </x:c>
      <x:c r="N5" s="62" t="n">
        <x:v>38.9041</x:v>
      </x:c>
      <x:c r="O5" s="62" t="n">
        <x:v>96.0385</x:v>
      </x:c>
      <x:c r="P5" s="62" t="n">
        <x:f>IF(OR(N5="",O5=""),"",2*N5*O5/(N5+O5))</x:f>
        <x:v>55.376010360701514</x:v>
      </x:c>
      <x:c r="Q5" t="str">
        <x:v>오열에서_오열2_1시간 측정_1.png; 오열에서_오열2_1시간 측정_2.png</x:v>
      </x:c>
      <x:c r="R5" t="str">
        <x:v>기존 Excel 대응</x:v>
      </x:c>
      <x:c r="S5" t="str"/>
    </x:row>
    <x:row r="6" ht="15" hidden="0" customHeight="1">
      <x:c r="A6" t="str">
        <x:v>OPEN2_1H_R1</x:v>
      </x:c>
      <x:c r="B6" t="str">
        <x:v>일반</x:v>
      </x:c>
      <x:c r="C6" t="str">
        <x:v>오픈열람실2</x:v>
      </x:c>
      <x:c r="D6" t="str">
        <x:v>오픈열람실2 AP</x:v>
      </x:c>
      <x:c r="E6" t="str">
        <x:v>고정</x:v>
      </x:c>
      <x:c r="F6" t="n">
        <x:v>60</x:v>
      </x:c>
      <x:c r="G6" t="n">
        <x:v>1</x:v>
      </x:c>
      <x:c r="H6" t="n">
        <x:v>5</x:v>
      </x:c>
      <x:c r="I6" s="62" t="n">
        <x:v>-52</x:v>
      </x:c>
      <x:c r="J6" s="62" t="n">
        <x:v>1201</x:v>
      </x:c>
      <x:c r="K6" s="62" t="n">
        <x:v>36</x:v>
      </x:c>
      <x:c r="L6" s="62" t="n">
        <x:v>16</x:v>
      </x:c>
      <x:c r="M6" s="62" t="n">
        <x:v>0</x:v>
      </x:c>
      <x:c r="N6" s="62" t="n">
        <x:v>54.8919</x:v>
      </x:c>
      <x:c r="O6" s="62" t="n">
        <x:v>55.8715</x:v>
      </x:c>
      <x:c r="P6" s="62" t="n">
        <x:f>IF(OR(N6="",O6=""),"",2*N6*O6/(N6+O6))</x:f>
        <x:v>55.37736817125513</x:v>
      </x:c>
      <x:c r="Q6" t="str">
        <x:v>오열에서_오열2_1시간 측정_1.png; 오열에서_오열2_1시간 측정_2.png</x:v>
      </x:c>
      <x:c r="R6" t="str">
        <x:v>기존 Excel 대응</x:v>
      </x:c>
      <x:c r="S6" t="str"/>
    </x:row>
    <x:row r="7" ht="15" hidden="0" customHeight="1">
      <x:c r="A7" t="str">
        <x:v>OPEN2_1H_R1</x:v>
      </x:c>
      <x:c r="B7" t="str">
        <x:v>일반</x:v>
      </x:c>
      <x:c r="C7" t="str">
        <x:v>오픈열람실2</x:v>
      </x:c>
      <x:c r="D7" t="str">
        <x:v>오픈열람실2 AP</x:v>
      </x:c>
      <x:c r="E7" t="str">
        <x:v>고정</x:v>
      </x:c>
      <x:c r="F7" t="n">
        <x:v>60</x:v>
      </x:c>
      <x:c r="G7" t="n">
        <x:v>1</x:v>
      </x:c>
      <x:c r="H7" t="n">
        <x:v>6</x:v>
      </x:c>
      <x:c r="I7" s="62" t="n">
        <x:v>-55</x:v>
      </x:c>
      <x:c r="J7" s="62" t="n">
        <x:v>1201</x:v>
      </x:c>
      <x:c r="K7" s="62" t="n">
        <x:v>40</x:v>
      </x:c>
      <x:c r="L7" s="62" t="n">
        <x:v>5</x:v>
      </x:c>
      <x:c r="M7" s="62" t="n">
        <x:v>0</x:v>
      </x:c>
      <x:c r="N7" s="62" t="n">
        <x:v>47.6736</x:v>
      </x:c>
      <x:c r="O7" s="62" t="n">
        <x:v>110.0954</x:v>
      </x:c>
      <x:c r="P7" s="62" t="n">
        <x:f>IF(OR(N7="",O7=""),"",2*N7*O7/(N7+O7))</x:f>
        <x:v>66.53580946117424</x:v>
      </x:c>
      <x:c r="Q7" t="str">
        <x:v>오열에서_오열2_1시간 측정_1.png; 오열에서_오열2_1시간 측정_2.png</x:v>
      </x:c>
      <x:c r="R7" t="str">
        <x:v>기존 Excel 대응</x:v>
      </x:c>
      <x:c r="S7" t="str"/>
    </x:row>
    <x:row r="8" ht="15" hidden="0" customHeight="1">
      <x:c r="A8" t="str">
        <x:v>OPEN2_1H_R1</x:v>
      </x:c>
      <x:c r="B8" t="str">
        <x:v>일반</x:v>
      </x:c>
      <x:c r="C8" t="str">
        <x:v>오픈열람실2</x:v>
      </x:c>
      <x:c r="D8" t="str">
        <x:v>오픈열람실2 AP</x:v>
      </x:c>
      <x:c r="E8" t="str">
        <x:v>고정</x:v>
      </x:c>
      <x:c r="F8" t="n">
        <x:v>60</x:v>
      </x:c>
      <x:c r="G8" t="n">
        <x:v>1</x:v>
      </x:c>
      <x:c r="H8" t="n">
        <x:v>7</x:v>
      </x:c>
      <x:c r="I8" s="62" t="n">
        <x:v>-52</x:v>
      </x:c>
      <x:c r="J8" s="62" t="n">
        <x:v>1201</x:v>
      </x:c>
      <x:c r="K8" s="62" t="n">
        <x:v>80</x:v>
      </x:c>
      <x:c r="L8" s="62" t="n">
        <x:v>14</x:v>
      </x:c>
      <x:c r="M8" s="62" t="n">
        <x:v>0</x:v>
      </x:c>
      <x:c r="N8" s="62" t="n">
        <x:v>60.8288</x:v>
      </x:c>
      <x:c r="O8" s="62" t="n">
        <x:v>99.2995</x:v>
      </x:c>
      <x:c r="P8" s="62" t="n">
        <x:f>IF(OR(N8="",O8=""),"",2*N8*O8/(N8+O8))</x:f>
        <x:v>75.4428720669613</x:v>
      </x:c>
      <x:c r="Q8" t="str">
        <x:v>오열에서_오열2_1시간 측정_1.png; 오열에서_오열2_1시간 측정_2.png</x:v>
      </x:c>
      <x:c r="R8" t="str">
        <x:v>기존 Excel 대응</x:v>
      </x:c>
      <x:c r="S8" t="str"/>
    </x:row>
    <x:row r="9" ht="15" hidden="0" customHeight="1">
      <x:c r="A9" t="str">
        <x:v>OPEN2_1H_R1</x:v>
      </x:c>
      <x:c r="B9" t="str">
        <x:v>일반</x:v>
      </x:c>
      <x:c r="C9" t="str">
        <x:v>오픈열람실2</x:v>
      </x:c>
      <x:c r="D9" t="str">
        <x:v>오픈열람실2 AP</x:v>
      </x:c>
      <x:c r="E9" t="str">
        <x:v>고정</x:v>
      </x:c>
      <x:c r="F9" t="n">
        <x:v>60</x:v>
      </x:c>
      <x:c r="G9" t="n">
        <x:v>1</x:v>
      </x:c>
      <x:c r="H9" t="n">
        <x:v>8</x:v>
      </x:c>
      <x:c r="I9" s="62" t="n">
        <x:v>-54</x:v>
      </x:c>
      <x:c r="J9" s="62" t="n">
        <x:v>1201</x:v>
      </x:c>
      <x:c r="K9" s="62" t="n">
        <x:v>82</x:v>
      </x:c>
      <x:c r="L9" s="62" t="n">
        <x:v>16</x:v>
      </x:c>
      <x:c r="M9" s="62" t="n">
        <x:v>0</x:v>
      </x:c>
      <x:c r="N9" s="62" t="n">
        <x:v>42.2679</x:v>
      </x:c>
      <x:c r="O9" s="62" t="n">
        <x:v>83.4271</x:v>
      </x:c>
      <x:c r="P9" s="62" t="n">
        <x:f>IF(OR(N9="",O9=""),"",2*N9*O9/(N9+O9))</x:f>
        <x:v>56.10864903281753</x:v>
      </x:c>
      <x:c r="Q9" t="str">
        <x:v>오열에서_오열2_1시간 측정_1.png; 오열에서_오열2_1시간 측정_2.png</x:v>
      </x:c>
      <x:c r="R9" t="str">
        <x:v>기존 Excel 대응</x:v>
      </x:c>
      <x:c r="S9" t="str"/>
    </x:row>
    <x:row r="10" ht="15" hidden="0" customHeight="1">
      <x:c r="A10" t="str">
        <x:v>OPEN2_1H_R1</x:v>
      </x:c>
      <x:c r="B10" t="str">
        <x:v>일반</x:v>
      </x:c>
      <x:c r="C10" t="str">
        <x:v>오픈열람실2</x:v>
      </x:c>
      <x:c r="D10" t="str">
        <x:v>오픈열람실2 AP</x:v>
      </x:c>
      <x:c r="E10" t="str">
        <x:v>고정</x:v>
      </x:c>
      <x:c r="F10" t="n">
        <x:v>60</x:v>
      </x:c>
      <x:c r="G10" t="n">
        <x:v>1</x:v>
      </x:c>
      <x:c r="H10" t="n">
        <x:v>9</x:v>
      </x:c>
      <x:c r="I10" s="62" t="n">
        <x:v>-55</x:v>
      </x:c>
      <x:c r="J10" s="62" t="n">
        <x:v>1201</x:v>
      </x:c>
      <x:c r="K10" s="62" t="n">
        <x:v>55</x:v>
      </x:c>
      <x:c r="L10" s="62" t="n">
        <x:v>8</x:v>
      </x:c>
      <x:c r="M10" s="62" t="n">
        <x:v>0</x:v>
      </x:c>
      <x:c r="N10" s="62" t="n">
        <x:v>103.3804</x:v>
      </x:c>
      <x:c r="O10" s="62" t="n">
        <x:v>75.447</x:v>
      </x:c>
      <x:c r="P10" s="62" t="n">
        <x:f>IF(OR(N10="",O10=""),"",2*N10*O10/(N10+O10))</x:f>
        <x:v>87.23205771375079</x:v>
      </x:c>
      <x:c r="Q10" t="str">
        <x:v>오열에서_오열2_1시간 측정_1.png; 오열에서_오열2_1시간 측정_2.png</x:v>
      </x:c>
      <x:c r="R10" t="str">
        <x:v>기존 Excel 대응</x:v>
      </x:c>
      <x:c r="S10" t="str"/>
    </x:row>
    <x:row r="11" ht="15" hidden="0" customHeight="1">
      <x:c r="A11" t="str">
        <x:v>OPEN2_1H_R1</x:v>
      </x:c>
      <x:c r="B11" t="str">
        <x:v>일반</x:v>
      </x:c>
      <x:c r="C11" t="str">
        <x:v>오픈열람실2</x:v>
      </x:c>
      <x:c r="D11" t="str">
        <x:v>오픈열람실2 AP</x:v>
      </x:c>
      <x:c r="E11" t="str">
        <x:v>고정</x:v>
      </x:c>
      <x:c r="F11" t="n">
        <x:v>60</x:v>
      </x:c>
      <x:c r="G11" t="n">
        <x:v>1</x:v>
      </x:c>
      <x:c r="H11" t="n">
        <x:v>10</x:v>
      </x:c>
      <x:c r="I11" s="62" t="n">
        <x:v>-53</x:v>
      </x:c>
      <x:c r="J11" s="62" t="n">
        <x:v>1201</x:v>
      </x:c>
      <x:c r="K11" s="62" t="n">
        <x:v>21</x:v>
      </x:c>
      <x:c r="L11" s="62" t="n">
        <x:v>4</x:v>
      </x:c>
      <x:c r="M11" s="62" t="n">
        <x:v>0</x:v>
      </x:c>
      <x:c r="N11" s="62" t="n">
        <x:v>68.7764</x:v>
      </x:c>
      <x:c r="O11" s="62" t="n">
        <x:v>107.1874</x:v>
      </x:c>
      <x:c r="P11" s="62" t="n">
        <x:f>IF(OR(N11="",O11=""),"",2*N11*O11/(N11+O11))</x:f>
        <x:v>83.78954645625976</x:v>
      </x:c>
      <x:c r="Q11" t="str">
        <x:v>오열에서_오열2_1시간 측정_1.png; 오열에서_오열2_1시간 측정_2.png</x:v>
      </x:c>
      <x:c r="R11" t="str">
        <x:v>기존 Excel 대응</x:v>
      </x:c>
      <x:c r="S11" t="str"/>
    </x:row>
    <x:row r="12" ht="15" hidden="0" customHeight="1">
      <x:c r="A12" t="str">
        <x:v>OPEN2_1H_R1</x:v>
      </x:c>
      <x:c r="B12" t="str">
        <x:v>일반</x:v>
      </x:c>
      <x:c r="C12" t="str">
        <x:v>오픈열람실2</x:v>
      </x:c>
      <x:c r="D12" t="str">
        <x:v>오픈열람실2 AP</x:v>
      </x:c>
      <x:c r="E12" t="str">
        <x:v>고정</x:v>
      </x:c>
      <x:c r="F12" t="n">
        <x:v>60</x:v>
      </x:c>
      <x:c r="G12" t="n">
        <x:v>1</x:v>
      </x:c>
      <x:c r="H12" t="n">
        <x:v>11</x:v>
      </x:c>
      <x:c r="I12" s="62" t="n">
        <x:v>-56</x:v>
      </x:c>
      <x:c r="J12" s="62" t="n">
        <x:v>1201</x:v>
      </x:c>
      <x:c r="K12" s="62" t="n">
        <x:v>42</x:v>
      </x:c>
      <x:c r="L12" s="62" t="n">
        <x:v>5</x:v>
      </x:c>
      <x:c r="M12" s="62" t="n">
        <x:v>0</x:v>
      </x:c>
      <x:c r="N12" s="62" t="n">
        <x:v>86.0429</x:v>
      </x:c>
      <x:c r="O12" s="62" t="n">
        <x:v>79.2102</x:v>
      </x:c>
      <x:c r="P12" s="62" t="n">
        <x:f>IF(OR(N12="",O12=""),"",2*N12*O12/(N12+O12))</x:f>
        <x:v>82.48529458848276</x:v>
      </x:c>
      <x:c r="Q12" t="str">
        <x:v>오열에서_오열2_1시간 측정_1.png; 오열에서_오열2_1시간 측정_2.png</x:v>
      </x:c>
      <x:c r="R12" t="str">
        <x:v>기존 Excel 대응</x:v>
      </x:c>
      <x:c r="S12" t="str"/>
    </x:row>
    <x:row r="13" ht="15" hidden="0" customHeight="1">
      <x:c r="A13" t="str">
        <x:v>OPEN2_1H_R1</x:v>
      </x:c>
      <x:c r="B13" t="str">
        <x:v>일반</x:v>
      </x:c>
      <x:c r="C13" t="str">
        <x:v>오픈열람실2</x:v>
      </x:c>
      <x:c r="D13" t="str">
        <x:v>오픈열람실2 AP</x:v>
      </x:c>
      <x:c r="E13" t="str">
        <x:v>고정</x:v>
      </x:c>
      <x:c r="F13" t="n">
        <x:v>60</x:v>
      </x:c>
      <x:c r="G13" t="n">
        <x:v>1</x:v>
      </x:c>
      <x:c r="H13" t="n">
        <x:v>12</x:v>
      </x:c>
      <x:c r="I13" s="62" t="n">
        <x:v>-54</x:v>
      </x:c>
      <x:c r="J13" s="62" t="n">
        <x:v>1201</x:v>
      </x:c>
      <x:c r="K13" s="62" t="n">
        <x:v>38</x:v>
      </x:c>
      <x:c r="L13" s="62" t="n">
        <x:v>5</x:v>
      </x:c>
      <x:c r="M13" s="62" t="n">
        <x:v>0</x:v>
      </x:c>
      <x:c r="N13" s="62" t="n">
        <x:v>4.583</x:v>
      </x:c>
      <x:c r="O13" s="62" t="n">
        <x:v>87.2633</x:v>
      </x:c>
      <x:c r="P13" s="62" t="n">
        <x:f>IF(OR(N13="",O13=""),"",2*N13*O13/(N13+O13))</x:f>
        <x:v>8.708629610555898</x:v>
      </x:c>
      <x:c r="Q13" t="str">
        <x:v>오열에서_오열2_1시간 측정_1.png; 오열에서_오열2_1시간 측정_2.png</x:v>
      </x:c>
      <x:c r="R13" t="str">
        <x:v>기존 Excel 대응</x:v>
      </x:c>
      <x:c r="S13" t="str"/>
    </x:row>
    <x:row r="14" ht="15" hidden="0" customHeight="1">
      <x:c r="A14" t="str">
        <x:v>OPEN2_1H_R1</x:v>
      </x:c>
      <x:c r="B14" t="str">
        <x:v>일반</x:v>
      </x:c>
      <x:c r="C14" t="str">
        <x:v>오픈열람실2</x:v>
      </x:c>
      <x:c r="D14" t="str">
        <x:v>오픈열람실2 AP</x:v>
      </x:c>
      <x:c r="E14" t="str">
        <x:v>고정</x:v>
      </x:c>
      <x:c r="F14" t="n">
        <x:v>60</x:v>
      </x:c>
      <x:c r="G14" t="n">
        <x:v>1</x:v>
      </x:c>
      <x:c r="H14" t="n">
        <x:v>13</x:v>
      </x:c>
      <x:c r="I14" s="62" t="n">
        <x:v>-56</x:v>
      </x:c>
      <x:c r="J14" s="62" t="n">
        <x:v>1201</x:v>
      </x:c>
      <x:c r="K14" s="62" t="n">
        <x:v>25</x:v>
      </x:c>
      <x:c r="L14" s="62" t="n">
        <x:v>4</x:v>
      </x:c>
      <x:c r="M14" s="62" t="n">
        <x:v>0</x:v>
      </x:c>
      <x:c r="N14" s="62" t="n">
        <x:v>80.3022</x:v>
      </x:c>
      <x:c r="O14" s="62" t="n">
        <x:v>87.6639</x:v>
      </x:c>
      <x:c r="P14" s="62" t="n">
        <x:f>IF(OR(N14="",O14=""),"",2*N14*O14/(N14+O14))</x:f>
        <x:v>83.82172391428985</x:v>
      </x:c>
      <x:c r="Q14" t="str">
        <x:v>오열에서_오열2_1시간 측정_1.png; 오열에서_오열2_1시간 측정_2.png</x:v>
      </x:c>
      <x:c r="R14" t="str">
        <x:v>기존 Excel 대응</x:v>
      </x:c>
      <x:c r="S14" t="str"/>
    </x:row>
    <x:row r="15" ht="15" hidden="0" customHeight="1">
      <x:c r="A15" t="str">
        <x:v>OPEN2_1H_R1</x:v>
      </x:c>
      <x:c r="B15" t="str">
        <x:v>일반</x:v>
      </x:c>
      <x:c r="C15" t="str">
        <x:v>오픈열람실2</x:v>
      </x:c>
      <x:c r="D15" t="str">
        <x:v>오픈열람실2 AP</x:v>
      </x:c>
      <x:c r="E15" t="str">
        <x:v>고정</x:v>
      </x:c>
      <x:c r="F15" t="n">
        <x:v>60</x:v>
      </x:c>
      <x:c r="G15" t="n">
        <x:v>1</x:v>
      </x:c>
      <x:c r="H15" t="n">
        <x:v>14</x:v>
      </x:c>
      <x:c r="I15" s="62" t="n">
        <x:v>-53</x:v>
      </x:c>
      <x:c r="J15" s="62" t="n">
        <x:v>1201</x:v>
      </x:c>
      <x:c r="K15" s="62" t="n">
        <x:v>21</x:v>
      </x:c>
      <x:c r="L15" s="62" t="n">
        <x:v>11</x:v>
      </x:c>
      <x:c r="M15" s="62" t="n">
        <x:v>0</x:v>
      </x:c>
      <x:c r="N15" s="62" t="n">
        <x:v>99.0845</x:v>
      </x:c>
      <x:c r="O15" s="62" t="n">
        <x:v>42.7644</x:v>
      </x:c>
      <x:c r="P15" s="62" t="n">
        <x:f>IF(OR(N15="",O15=""),"",2*N15*O15/(N15+O15))</x:f>
        <x:v>59.74370180946063</x:v>
      </x:c>
      <x:c r="Q15" t="str">
        <x:v>오열에서_오열2_1시간 측정_1.png; 오열에서_오열2_1시간 측정_2.png</x:v>
      </x:c>
      <x:c r="R15" t="str">
        <x:v>기존 Excel 대응</x:v>
      </x:c>
      <x:c r="S15" t="str"/>
    </x:row>
    <x:row r="16" ht="15" hidden="0" customHeight="1">
      <x:c r="A16" t="str">
        <x:v>OPEN2_1H_R1</x:v>
      </x:c>
      <x:c r="B16" t="str">
        <x:v>일반</x:v>
      </x:c>
      <x:c r="C16" t="str">
        <x:v>오픈열람실2</x:v>
      </x:c>
      <x:c r="D16" t="str">
        <x:v>오픈열람실2 AP</x:v>
      </x:c>
      <x:c r="E16" t="str">
        <x:v>고정</x:v>
      </x:c>
      <x:c r="F16" t="n">
        <x:v>60</x:v>
      </x:c>
      <x:c r="G16" t="n">
        <x:v>1</x:v>
      </x:c>
      <x:c r="H16" t="n">
        <x:v>15</x:v>
      </x:c>
      <x:c r="I16" s="62" t="n">
        <x:v>-55</x:v>
      </x:c>
      <x:c r="J16" s="62" t="n">
        <x:v>1201</x:v>
      </x:c>
      <x:c r="K16" s="62" t="n">
        <x:v>47</x:v>
      </x:c>
      <x:c r="L16" s="62" t="n">
        <x:v>6</x:v>
      </x:c>
      <x:c r="M16" s="62" t="n">
        <x:v>0</x:v>
      </x:c>
      <x:c r="N16" s="62" t="n">
        <x:v>126.7305</x:v>
      </x:c>
      <x:c r="O16" s="62" t="n">
        <x:v>44.228</x:v>
      </x:c>
      <x:c r="P16" s="62" t="n">
        <x:f>IF(OR(N16="",O16=""),"",2*N16*O16/(N16+O16))</x:f>
        <x:v>65.57189673517257</x:v>
      </x:c>
      <x:c r="Q16" t="str">
        <x:v>오열에서_오열2_1시간 측정_1.png; 오열에서_오열2_1시간 측정_2.png</x:v>
      </x:c>
      <x:c r="R16" t="str">
        <x:v>기존 Excel 대응</x:v>
      </x:c>
      <x:c r="S16" t="str"/>
    </x:row>
    <x:row r="17" ht="15" hidden="0" customHeight="1">
      <x:c r="A17" t="str">
        <x:v>OPEN2_1H_R1</x:v>
      </x:c>
      <x:c r="B17" t="str">
        <x:v>일반</x:v>
      </x:c>
      <x:c r="C17" t="str">
        <x:v>오픈열람실2</x:v>
      </x:c>
      <x:c r="D17" t="str">
        <x:v>오픈열람실2 AP</x:v>
      </x:c>
      <x:c r="E17" t="str">
        <x:v>고정</x:v>
      </x:c>
      <x:c r="F17" t="n">
        <x:v>60</x:v>
      </x:c>
      <x:c r="G17" t="n">
        <x:v>1</x:v>
      </x:c>
      <x:c r="H17" t="n">
        <x:v>16</x:v>
      </x:c>
      <x:c r="I17" s="62" t="n">
        <x:v>-52</x:v>
      </x:c>
      <x:c r="J17" s="62" t="n">
        <x:v>1201</x:v>
      </x:c>
      <x:c r="K17" s="62" t="n">
        <x:v>61</x:v>
      </x:c>
      <x:c r="L17" s="62" t="n">
        <x:v>11</x:v>
      </x:c>
      <x:c r="M17" s="62" t="n">
        <x:v>0</x:v>
      </x:c>
      <x:c r="N17" s="62" t="n">
        <x:v>158.4127</x:v>
      </x:c>
      <x:c r="O17" s="62" t="n">
        <x:v>64.1851</x:v>
      </x:c>
      <x:c r="P17" s="62" t="n">
        <x:f>IF(OR(N17="",O17=""),"",2*N17*O17/(N17+O17))</x:f>
        <x:v>91.35521546726878</x:v>
      </x:c>
      <x:c r="Q17" t="str">
        <x:v>오열에서_오열2_1시간 측정_1.png; 오열에서_오열2_1시간 측정_2.png</x:v>
      </x:c>
      <x:c r="R17" t="str">
        <x:v>기존 Excel 대응</x:v>
      </x:c>
      <x:c r="S17" t="str"/>
    </x:row>
    <x:row r="18" ht="15" hidden="0" customHeight="1">
      <x:c r="A18" t="str">
        <x:v>OPEN2_1H_R1</x:v>
      </x:c>
      <x:c r="B18" t="str">
        <x:v>일반</x:v>
      </x:c>
      <x:c r="C18" t="str">
        <x:v>오픈열람실2</x:v>
      </x:c>
      <x:c r="D18" t="str">
        <x:v>오픈열람실2 AP</x:v>
      </x:c>
      <x:c r="E18" t="str">
        <x:v>고정</x:v>
      </x:c>
      <x:c r="F18" t="n">
        <x:v>60</x:v>
      </x:c>
      <x:c r="G18" t="n">
        <x:v>1</x:v>
      </x:c>
      <x:c r="H18" t="n">
        <x:v>17</x:v>
      </x:c>
      <x:c r="I18" s="62" t="n">
        <x:v>-52</x:v>
      </x:c>
      <x:c r="J18" s="62" t="n">
        <x:v>1201</x:v>
      </x:c>
      <x:c r="K18" s="62" t="n">
        <x:v>32</x:v>
      </x:c>
      <x:c r="L18" s="62" t="n">
        <x:v>5</x:v>
      </x:c>
      <x:c r="M18" s="62" t="n">
        <x:v>0</x:v>
      </x:c>
      <x:c r="N18" s="62" t="n">
        <x:v>46.9153</x:v>
      </x:c>
      <x:c r="O18" s="62" t="n">
        <x:v>73.5567</x:v>
      </x:c>
      <x:c r="P18" s="62" t="n">
        <x:f>IF(OR(N18="",O18=""),"",2*N18*O18/(N18+O18))</x:f>
        <x:v>57.290235864101206</x:v>
      </x:c>
      <x:c r="Q18" t="str">
        <x:v>오열에서_오열2_1시간 측정_1.png; 오열에서_오열2_1시간 측정_2.png</x:v>
      </x:c>
      <x:c r="R18" t="str">
        <x:v>기존 Excel 대응</x:v>
      </x:c>
      <x:c r="S18" t="str"/>
    </x:row>
    <x:row r="19" ht="15" hidden="0" customHeight="1">
      <x:c r="A19" t="str">
        <x:v>OPEN2_1H_R1</x:v>
      </x:c>
      <x:c r="B19" t="str">
        <x:v>일반</x:v>
      </x:c>
      <x:c r="C19" t="str">
        <x:v>오픈열람실2</x:v>
      </x:c>
      <x:c r="D19" t="str">
        <x:v>오픈열람실2 AP</x:v>
      </x:c>
      <x:c r="E19" t="str">
        <x:v>고정</x:v>
      </x:c>
      <x:c r="F19" t="n">
        <x:v>60</x:v>
      </x:c>
      <x:c r="G19" t="n">
        <x:v>1</x:v>
      </x:c>
      <x:c r="H19" t="n">
        <x:v>18</x:v>
      </x:c>
      <x:c r="I19" s="62" t="n">
        <x:v>-54</x:v>
      </x:c>
      <x:c r="J19" s="62" t="n">
        <x:v>1201</x:v>
      </x:c>
      <x:c r="K19" s="62" t="n">
        <x:v>29</x:v>
      </x:c>
      <x:c r="L19" s="62" t="n">
        <x:v>7</x:v>
      </x:c>
      <x:c r="M19" s="62" t="n">
        <x:v>0</x:v>
      </x:c>
      <x:c r="N19" s="62" t="n">
        <x:v>116.2395</x:v>
      </x:c>
      <x:c r="O19" s="62" t="n">
        <x:v>105.0953</x:v>
      </x:c>
      <x:c r="P19" s="62" t="n">
        <x:f>IF(OR(N19="",O19=""),"",2*N19*O19/(N19+O19))</x:f>
        <x:v>110.38684494575638</x:v>
      </x:c>
      <x:c r="Q19" t="str">
        <x:v>오열에서_오열2_1시간 측정_1.png; 오열에서_오열2_1시간 측정_2.png</x:v>
      </x:c>
      <x:c r="R19" t="str">
        <x:v>기존 Excel 대응</x:v>
      </x:c>
      <x:c r="S19" t="str"/>
    </x:row>
    <x:row r="20" ht="15" hidden="0" customHeight="1">
      <x:c r="A20" t="str">
        <x:v>OPEN2_1H_R1</x:v>
      </x:c>
      <x:c r="B20" t="str">
        <x:v>일반</x:v>
      </x:c>
      <x:c r="C20" t="str">
        <x:v>오픈열람실2</x:v>
      </x:c>
      <x:c r="D20" t="str">
        <x:v>오픈열람실2 AP</x:v>
      </x:c>
      <x:c r="E20" t="str">
        <x:v>고정</x:v>
      </x:c>
      <x:c r="F20" t="n">
        <x:v>60</x:v>
      </x:c>
      <x:c r="G20" t="n">
        <x:v>1</x:v>
      </x:c>
      <x:c r="H20" t="n">
        <x:v>19</x:v>
      </x:c>
      <x:c r="I20" s="62" t="n">
        <x:v>-55</x:v>
      </x:c>
      <x:c r="J20" s="62" t="n">
        <x:v>1201</x:v>
      </x:c>
      <x:c r="K20" s="62" t="n">
        <x:v>26</x:v>
      </x:c>
      <x:c r="L20" s="62" t="n">
        <x:v>5</x:v>
      </x:c>
      <x:c r="M20" s="62" t="n">
        <x:v>0</x:v>
      </x:c>
      <x:c r="N20" s="62" t="n">
        <x:v>140.1645</x:v>
      </x:c>
      <x:c r="O20" s="62" t="n">
        <x:v>85.1217</x:v>
      </x:c>
      <x:c r="P20" s="62" t="n">
        <x:f>IF(OR(N20="",O20=""),"",2*N20*O20/(N20+O20))</x:f>
        <x:v>105.91896458504783</x:v>
      </x:c>
      <x:c r="Q20" t="str">
        <x:v>오열에서_오열2_1시간 측정_1.png; 오열에서_오열2_1시간 측정_2.png</x:v>
      </x:c>
      <x:c r="R20" t="str">
        <x:v>기존 Excel 대응</x:v>
      </x:c>
      <x:c r="S20" t="str"/>
    </x:row>
    <x:row r="21" ht="15" hidden="0" customHeight="1">
      <x:c r="A21" t="str">
        <x:v>OPEN2_1H_R1</x:v>
      </x:c>
      <x:c r="B21" t="str">
        <x:v>일반</x:v>
      </x:c>
      <x:c r="C21" t="str">
        <x:v>오픈열람실2</x:v>
      </x:c>
      <x:c r="D21" t="str">
        <x:v>오픈열람실2 AP</x:v>
      </x:c>
      <x:c r="E21" t="str">
        <x:v>고정</x:v>
      </x:c>
      <x:c r="F21" t="n">
        <x:v>60</x:v>
      </x:c>
      <x:c r="G21" t="n">
        <x:v>1</x:v>
      </x:c>
      <x:c r="H21" t="n">
        <x:v>20</x:v>
      </x:c>
      <x:c r="I21" s="62" t="n">
        <x:v>-51</x:v>
      </x:c>
      <x:c r="J21" s="62" t="n">
        <x:v>1201</x:v>
      </x:c>
      <x:c r="K21" s="62" t="n">
        <x:v>18</x:v>
      </x:c>
      <x:c r="L21" s="62" t="n">
        <x:v>5</x:v>
      </x:c>
      <x:c r="M21" s="62" t="n">
        <x:v>0</x:v>
      </x:c>
      <x:c r="N21" s="62" t="n">
        <x:v>36.8756</x:v>
      </x:c>
      <x:c r="O21" s="62" t="n">
        <x:v>99.1482</x:v>
      </x:c>
      <x:c r="P21" s="62" t="n">
        <x:f>IF(OR(N21="",O21=""),"",2*N21*O21/(N21+O21))</x:f>
        <x:v>53.75749484898966</x:v>
      </x:c>
      <x:c r="Q21" t="str">
        <x:v>오열에서_오열2_1시간 측정_1.png; 오열에서_오열2_1시간 측정_2.png</x:v>
      </x:c>
      <x:c r="R21" t="str">
        <x:v>기존 Excel 대응</x:v>
      </x:c>
      <x:c r="S21" t="str"/>
    </x:row>
    <x:row r="22" ht="15" hidden="0" customHeight="1">
      <x:c r="A22" t="str">
        <x:v>OPEN2_1H_R1</x:v>
      </x:c>
      <x:c r="B22" t="str">
        <x:v>일반</x:v>
      </x:c>
      <x:c r="C22" t="str">
        <x:v>오픈열람실2</x:v>
      </x:c>
      <x:c r="D22" t="str">
        <x:v>오픈열람실2 AP</x:v>
      </x:c>
      <x:c r="E22" t="str">
        <x:v>고정</x:v>
      </x:c>
      <x:c r="F22" t="n">
        <x:v>60</x:v>
      </x:c>
      <x:c r="G22" t="n">
        <x:v>1</x:v>
      </x:c>
      <x:c r="H22" t="n">
        <x:v>21</x:v>
      </x:c>
      <x:c r="I22" s="62" t="n">
        <x:v>-52</x:v>
      </x:c>
      <x:c r="J22" s="62" t="n">
        <x:v>1201</x:v>
      </x:c>
      <x:c r="K22" s="62" t="n">
        <x:v>29</x:v>
      </x:c>
      <x:c r="L22" s="62" t="n">
        <x:v>7</x:v>
      </x:c>
      <x:c r="M22" s="62" t="n">
        <x:v>0</x:v>
      </x:c>
      <x:c r="N22" s="62" t="n">
        <x:v>28.2374</x:v>
      </x:c>
      <x:c r="O22" s="62" t="n">
        <x:v>87.8307</x:v>
      </x:c>
      <x:c r="P22" s="62" t="n">
        <x:f>IF(OR(N22="",O22=""),"",2*N22*O22/(N22+O22))</x:f>
        <x:v>42.73543907723138</x:v>
      </x:c>
      <x:c r="Q22" t="str">
        <x:v>오열에서_오열2_1시간 측정_1.png; 오열에서_오열2_1시간 측정_2.png</x:v>
      </x:c>
      <x:c r="R22" t="str">
        <x:v>기존 Excel 대응</x:v>
      </x:c>
      <x:c r="S22" t="str"/>
    </x:row>
    <x:row r="23" ht="15" hidden="0" customHeight="1">
      <x:c r="A23" t="str">
        <x:v>OPEN2_1H_R1</x:v>
      </x:c>
      <x:c r="B23" t="str">
        <x:v>일반</x:v>
      </x:c>
      <x:c r="C23" t="str">
        <x:v>오픈열람실2</x:v>
      </x:c>
      <x:c r="D23" t="str">
        <x:v>오픈열람실2 AP</x:v>
      </x:c>
      <x:c r="E23" t="str">
        <x:v>고정</x:v>
      </x:c>
      <x:c r="F23" t="n">
        <x:v>60</x:v>
      </x:c>
      <x:c r="G23" t="n">
        <x:v>1</x:v>
      </x:c>
      <x:c r="H23" t="n">
        <x:v>22</x:v>
      </x:c>
      <x:c r="I23" s="62" t="n">
        <x:v>-52</x:v>
      </x:c>
      <x:c r="J23" s="62" t="n">
        <x:v>1201</x:v>
      </x:c>
      <x:c r="K23" s="62" t="n">
        <x:v>52</x:v>
      </x:c>
      <x:c r="L23" s="62" t="n">
        <x:v>5</x:v>
      </x:c>
      <x:c r="M23" s="62" t="n">
        <x:v>0</x:v>
      </x:c>
      <x:c r="N23" s="62" t="n">
        <x:v>132.1834</x:v>
      </x:c>
      <x:c r="O23" s="62" t="n">
        <x:v>99.445</x:v>
      </x:c>
      <x:c r="P23" s="62" t="n">
        <x:f>IF(OR(N23="",O23=""),"",2*N23*O23/(N23+O23))</x:f>
        <x:v>113.50057430781372</x:v>
      </x:c>
      <x:c r="Q23" t="str">
        <x:v>오열에서_오열2_1시간 측정_1.png; 오열에서_오열2_1시간 측정_2.png</x:v>
      </x:c>
      <x:c r="R23" t="str">
        <x:v>기존 Excel 대응</x:v>
      </x:c>
      <x:c r="S23" t="str"/>
    </x:row>
    <x:row r="24" ht="15" hidden="0" customHeight="1">
      <x:c r="A24" t="str">
        <x:v>OPEN2_1H_R1</x:v>
      </x:c>
      <x:c r="B24" t="str">
        <x:v>일반</x:v>
      </x:c>
      <x:c r="C24" t="str">
        <x:v>오픈열람실2</x:v>
      </x:c>
      <x:c r="D24" t="str">
        <x:v>오픈열람실2 AP</x:v>
      </x:c>
      <x:c r="E24" t="str">
        <x:v>고정</x:v>
      </x:c>
      <x:c r="F24" t="n">
        <x:v>60</x:v>
      </x:c>
      <x:c r="G24" t="n">
        <x:v>1</x:v>
      </x:c>
      <x:c r="H24" t="n">
        <x:v>23</x:v>
      </x:c>
      <x:c r="I24" s="62" t="n">
        <x:v>-52</x:v>
      </x:c>
      <x:c r="J24" s="62" t="n">
        <x:v>1201</x:v>
      </x:c>
      <x:c r="K24" s="62" t="n">
        <x:v>35</x:v>
      </x:c>
      <x:c r="L24" s="62" t="n">
        <x:v>4</x:v>
      </x:c>
      <x:c r="M24" s="62" t="n">
        <x:v>0</x:v>
      </x:c>
      <x:c r="N24" s="62" t="n">
        <x:v>161.1302</x:v>
      </x:c>
      <x:c r="O24" s="62" t="n">
        <x:v>133.0922</x:v>
      </x:c>
      <x:c r="P24" s="62" t="n">
        <x:f>IF(OR(N24="",O24=""),"",2*N24*O24/(N24+O24))</x:f>
        <x:v>145.77525575510228</x:v>
      </x:c>
      <x:c r="Q24" t="str">
        <x:v>오열에서_오열2_1시간 측정_1.png; 오열에서_오열2_1시간 측정_2.png</x:v>
      </x:c>
      <x:c r="R24" t="str">
        <x:v>기존 Excel 대응</x:v>
      </x:c>
      <x:c r="S24" t="str"/>
    </x:row>
    <x:row r="25" ht="15" hidden="0" customHeight="1">
      <x:c r="A25" t="str">
        <x:v>OPEN2_1H_R1</x:v>
      </x:c>
      <x:c r="B25" t="str">
        <x:v>일반</x:v>
      </x:c>
      <x:c r="C25" t="str">
        <x:v>오픈열람실2</x:v>
      </x:c>
      <x:c r="D25" t="str">
        <x:v>오픈열람실2 AP</x:v>
      </x:c>
      <x:c r="E25" t="str">
        <x:v>고정</x:v>
      </x:c>
      <x:c r="F25" t="n">
        <x:v>60</x:v>
      </x:c>
      <x:c r="G25" t="n">
        <x:v>1</x:v>
      </x:c>
      <x:c r="H25" t="n">
        <x:v>24</x:v>
      </x:c>
      <x:c r="I25" s="62" t="n">
        <x:v>-53</x:v>
      </x:c>
      <x:c r="J25" s="62" t="n">
        <x:v>1201</x:v>
      </x:c>
      <x:c r="K25" s="62" t="n">
        <x:v>17</x:v>
      </x:c>
      <x:c r="L25" s="62" t="n">
        <x:v>5</x:v>
      </x:c>
      <x:c r="M25" s="62" t="n">
        <x:v>0</x:v>
      </x:c>
      <x:c r="N25" s="62" t="n">
        <x:v>94.396</x:v>
      </x:c>
      <x:c r="O25" s="62" t="n">
        <x:v>108.8673</x:v>
      </x:c>
      <x:c r="P25" s="62" t="n">
        <x:f>IF(OR(N25="",O25=""),"",2*N25*O25/(N25+O25))</x:f>
        <x:v>101.11650898907966</x:v>
      </x:c>
      <x:c r="Q25" t="str">
        <x:v>오열에서_오열2_1시간 측정_1.png; 오열에서_오열2_1시간 측정_2.png</x:v>
      </x:c>
      <x:c r="R25" t="str">
        <x:v>기존 Excel 대응</x:v>
      </x:c>
      <x:c r="S25" t="str"/>
    </x:row>
    <x:row r="26" ht="15" hidden="0" customHeight="1">
      <x:c r="A26" t="str">
        <x:v>OPEN2_1H_R1</x:v>
      </x:c>
      <x:c r="B26" t="str">
        <x:v>일반</x:v>
      </x:c>
      <x:c r="C26" t="str">
        <x:v>오픈열람실2</x:v>
      </x:c>
      <x:c r="D26" t="str">
        <x:v>오픈열람실2 AP</x:v>
      </x:c>
      <x:c r="E26" t="str">
        <x:v>고정</x:v>
      </x:c>
      <x:c r="F26" t="n">
        <x:v>60</x:v>
      </x:c>
      <x:c r="G26" t="n">
        <x:v>1</x:v>
      </x:c>
      <x:c r="H26" t="n">
        <x:v>25</x:v>
      </x:c>
      <x:c r="I26" s="62" t="n">
        <x:v>-53</x:v>
      </x:c>
      <x:c r="J26" s="62" t="n">
        <x:v>1201</x:v>
      </x:c>
      <x:c r="K26" s="62" t="n">
        <x:v>19</x:v>
      </x:c>
      <x:c r="L26" s="62" t="n">
        <x:v>5</x:v>
      </x:c>
      <x:c r="M26" s="62" t="n">
        <x:v>0</x:v>
      </x:c>
      <x:c r="N26" s="62" t="n">
        <x:v>101.6257</x:v>
      </x:c>
      <x:c r="O26" s="62" t="n">
        <x:v>104.3669</x:v>
      </x:c>
      <x:c r="P26" s="62" t="n">
        <x:f>IF(OR(N26="",O26=""),"",2*N26*O26/(N26+O26))</x:f>
        <x:v>102.97806105005715</x:v>
      </x:c>
      <x:c r="Q26" t="str">
        <x:v>오열에서_오열2_1시간 측정_1.png; 오열에서_오열2_1시간 측정_2.png</x:v>
      </x:c>
      <x:c r="R26" t="str">
        <x:v>기존 Excel 대응</x:v>
      </x:c>
      <x:c r="S26" t="str"/>
    </x:row>
    <x:row r="27" ht="15" hidden="0" customHeight="1">
      <x:c r="A27" t="str">
        <x:v>OPEN2_1H_R1</x:v>
      </x:c>
      <x:c r="B27" t="str">
        <x:v>일반</x:v>
      </x:c>
      <x:c r="C27" t="str">
        <x:v>오픈열람실2</x:v>
      </x:c>
      <x:c r="D27" t="str">
        <x:v>오픈열람실2 AP</x:v>
      </x:c>
      <x:c r="E27" t="str">
        <x:v>고정</x:v>
      </x:c>
      <x:c r="F27" t="n">
        <x:v>60</x:v>
      </x:c>
      <x:c r="G27" t="n">
        <x:v>1</x:v>
      </x:c>
      <x:c r="H27" t="n">
        <x:v>26</x:v>
      </x:c>
      <x:c r="I27" s="62" t="n">
        <x:v>-52</x:v>
      </x:c>
      <x:c r="J27" s="62" t="n">
        <x:v>1201</x:v>
      </x:c>
      <x:c r="K27" s="62" t="n">
        <x:v>29</x:v>
      </x:c>
      <x:c r="L27" s="62" t="n">
        <x:v>5</x:v>
      </x:c>
      <x:c r="M27" s="62" t="n">
        <x:v>0</x:v>
      </x:c>
      <x:c r="N27" s="62" t="n">
        <x:v>105.5727</x:v>
      </x:c>
      <x:c r="O27" s="62" t="n">
        <x:v>89.243</x:v>
      </x:c>
      <x:c r="P27" s="62" t="n">
        <x:f>IF(OR(N27="",O27=""),"",2*N27*O27/(N27+O27))</x:f>
        <x:v>96.72346187807246</x:v>
      </x:c>
      <x:c r="Q27" t="str">
        <x:v>오열에서_오열2_1시간 측정_1.png; 오열에서_오열2_1시간 측정_2.png</x:v>
      </x:c>
      <x:c r="R27" t="str">
        <x:v>기존 Excel 대응</x:v>
      </x:c>
      <x:c r="S27" t="str"/>
    </x:row>
    <x:row r="28" ht="15" hidden="0" customHeight="1">
      <x:c r="A28" t="str">
        <x:v>OPEN2_1H_R1</x:v>
      </x:c>
      <x:c r="B28" t="str">
        <x:v>일반</x:v>
      </x:c>
      <x:c r="C28" t="str">
        <x:v>오픈열람실2</x:v>
      </x:c>
      <x:c r="D28" t="str">
        <x:v>오픈열람실2 AP</x:v>
      </x:c>
      <x:c r="E28" t="str">
        <x:v>고정</x:v>
      </x:c>
      <x:c r="F28" t="n">
        <x:v>60</x:v>
      </x:c>
      <x:c r="G28" t="n">
        <x:v>1</x:v>
      </x:c>
      <x:c r="H28" t="n">
        <x:v>27</x:v>
      </x:c>
      <x:c r="I28" s="62" t="n">
        <x:v>-51</x:v>
      </x:c>
      <x:c r="J28" s="62" t="n">
        <x:v>1201</x:v>
      </x:c>
      <x:c r="K28" s="62" t="n">
        <x:v>20</x:v>
      </x:c>
      <x:c r="L28" s="62" t="n">
        <x:v>4</x:v>
      </x:c>
      <x:c r="M28" s="62" t="n">
        <x:v>0</x:v>
      </x:c>
      <x:c r="N28" s="62" t="n">
        <x:v>140.2359</x:v>
      </x:c>
      <x:c r="O28" s="62" t="n">
        <x:v>74.7729</x:v>
      </x:c>
      <x:c r="P28" s="62" t="n">
        <x:f>IF(OR(N28="",O28=""),"",2*N28*O28/(N28+O28))</x:f>
        <x:v>97.53875122422896</x:v>
      </x:c>
      <x:c r="Q28" t="str">
        <x:v>오열에서_오열2_1시간 측정_1.png; 오열에서_오열2_1시간 측정_2.png</x:v>
      </x:c>
      <x:c r="R28" t="str">
        <x:v>기존 Excel 대응</x:v>
      </x:c>
      <x:c r="S28" t="str"/>
    </x:row>
    <x:row r="29" ht="15" hidden="0" customHeight="1">
      <x:c r="A29" t="str">
        <x:v>OPEN2_1H_R1</x:v>
      </x:c>
      <x:c r="B29" t="str">
        <x:v>일반</x:v>
      </x:c>
      <x:c r="C29" t="str">
        <x:v>오픈열람실2</x:v>
      </x:c>
      <x:c r="D29" t="str">
        <x:v>오픈열람실2 AP</x:v>
      </x:c>
      <x:c r="E29" t="str">
        <x:v>고정</x:v>
      </x:c>
      <x:c r="F29" t="n">
        <x:v>60</x:v>
      </x:c>
      <x:c r="G29" t="n">
        <x:v>1</x:v>
      </x:c>
      <x:c r="H29" t="n">
        <x:v>28</x:v>
      </x:c>
      <x:c r="I29" s="62" t="n">
        <x:v>-56</x:v>
      </x:c>
      <x:c r="J29" s="62" t="n">
        <x:v>1201</x:v>
      </x:c>
      <x:c r="K29" s="62" t="n">
        <x:v>39</x:v>
      </x:c>
      <x:c r="L29" s="62" t="n">
        <x:v>4</x:v>
      </x:c>
      <x:c r="M29" s="62" t="n">
        <x:v>0</x:v>
      </x:c>
      <x:c r="N29" s="62" t="n">
        <x:v>68.6816</x:v>
      </x:c>
      <x:c r="O29" s="62" t="n">
        <x:v>130.8442</x:v>
      </x:c>
      <x:c r="P29" s="62" t="n">
        <x:f>IF(OR(N29="",O29=""),"",2*N29*O29/(N29+O29))</x:f>
        <x:v>90.07946848698263</x:v>
      </x:c>
      <x:c r="Q29" t="str">
        <x:v>오열에서_오열2_1시간 측정_1.png; 오열에서_오열2_1시간 측정_2.png</x:v>
      </x:c>
      <x:c r="R29" t="str">
        <x:v>기존 Excel 대응</x:v>
      </x:c>
      <x:c r="S29" t="str"/>
    </x:row>
    <x:row r="30" ht="15" hidden="0" customHeight="1">
      <x:c r="A30" t="str">
        <x:v>OPEN2_1H_R1</x:v>
      </x:c>
      <x:c r="B30" t="str">
        <x:v>일반</x:v>
      </x:c>
      <x:c r="C30" t="str">
        <x:v>오픈열람실2</x:v>
      </x:c>
      <x:c r="D30" t="str">
        <x:v>오픈열람실2 AP</x:v>
      </x:c>
      <x:c r="E30" t="str">
        <x:v>고정</x:v>
      </x:c>
      <x:c r="F30" t="n">
        <x:v>60</x:v>
      </x:c>
      <x:c r="G30" t="n">
        <x:v>1</x:v>
      </x:c>
      <x:c r="H30" t="n">
        <x:v>29</x:v>
      </x:c>
      <x:c r="I30" s="62" t="n">
        <x:v>-54</x:v>
      </x:c>
      <x:c r="J30" s="62" t="n">
        <x:v>1201</x:v>
      </x:c>
      <x:c r="K30" s="62" t="n">
        <x:v>37</x:v>
      </x:c>
      <x:c r="L30" s="62" t="n">
        <x:v>11</x:v>
      </x:c>
      <x:c r="M30" s="62" t="n">
        <x:v>0</x:v>
      </x:c>
      <x:c r="N30" s="62" t="n">
        <x:v>96.8071</x:v>
      </x:c>
      <x:c r="O30" s="62" t="n">
        <x:v>112.8729</x:v>
      </x:c>
      <x:c r="P30" s="62" t="n">
        <x:f>IF(OR(N30="",O30=""),"",2*N30*O30/(N30+O30))</x:f>
        <x:v>104.22451466606257</x:v>
      </x:c>
      <x:c r="Q30" t="str">
        <x:v>오열에서_오열2_1시간 측정_1.png; 오열에서_오열2_1시간 측정_2.png</x:v>
      </x:c>
      <x:c r="R30" t="str">
        <x:v>기존 Excel 대응</x:v>
      </x:c>
      <x:c r="S30" t="str"/>
    </x:row>
    <x:row r="31" ht="15" hidden="0" customHeight="1">
      <x:c r="A31" t="str">
        <x:v>OPEN2_1H_R1</x:v>
      </x:c>
      <x:c r="B31" t="str">
        <x:v>일반</x:v>
      </x:c>
      <x:c r="C31" t="str">
        <x:v>오픈열람실2</x:v>
      </x:c>
      <x:c r="D31" t="str">
        <x:v>오픈열람실2 AP</x:v>
      </x:c>
      <x:c r="E31" t="str">
        <x:v>고정</x:v>
      </x:c>
      <x:c r="F31" t="n">
        <x:v>60</x:v>
      </x:c>
      <x:c r="G31" t="n">
        <x:v>1</x:v>
      </x:c>
      <x:c r="H31" t="n">
        <x:v>30</x:v>
      </x:c>
      <x:c r="I31" s="62" t="n">
        <x:v>-53</x:v>
      </x:c>
      <x:c r="J31" s="62" t="n">
        <x:v>1201</x:v>
      </x:c>
      <x:c r="K31" s="62" t="n">
        <x:v>26</x:v>
      </x:c>
      <x:c r="L31" s="62" t="n">
        <x:v>5</x:v>
      </x:c>
      <x:c r="M31" s="62" t="n">
        <x:v>3.3333</x:v>
      </x:c>
      <x:c r="N31" s="62" t="n">
        <x:v>149.6086</x:v>
      </x:c>
      <x:c r="O31" s="62" t="n">
        <x:v>102.8044</x:v>
      </x:c>
      <x:c r="P31" s="62" t="n">
        <x:f>IF(OR(N31="",O31=""),"",2*N31*O31/(N31+O31))</x:f>
        <x:v>121.8671174451395</x:v>
      </x:c>
      <x:c r="Q31" t="str">
        <x:v>오열에서_오열2_1시간 측정_1.png; 오열에서_오열2_1시간 측정_2.png</x:v>
      </x:c>
      <x:c r="R31" t="str">
        <x:v>기존 Excel 대응</x:v>
      </x:c>
      <x:c r="S31" t="str"/>
    </x:row>
    <x:row r="32" ht="15" hidden="0" customHeight="1">
      <x:c r="A32" t="str">
        <x:v>OPEN2_1H_R1</x:v>
      </x:c>
      <x:c r="B32" t="str">
        <x:v>일반</x:v>
      </x:c>
      <x:c r="C32" t="str">
        <x:v>오픈열람실2</x:v>
      </x:c>
      <x:c r="D32" t="str">
        <x:v>오픈열람실2 AP</x:v>
      </x:c>
      <x:c r="E32" t="str">
        <x:v>고정</x:v>
      </x:c>
      <x:c r="F32" t="n">
        <x:v>60</x:v>
      </x:c>
      <x:c r="G32" t="n">
        <x:v>1</x:v>
      </x:c>
      <x:c r="H32" t="n">
        <x:v>31</x:v>
      </x:c>
      <x:c r="I32" s="62" t="n">
        <x:v>-54</x:v>
      </x:c>
      <x:c r="J32" s="62" t="n">
        <x:v>1201</x:v>
      </x:c>
      <x:c r="K32" s="62" t="n">
        <x:v>25</x:v>
      </x:c>
      <x:c r="L32" s="62" t="n">
        <x:v>9</x:v>
      </x:c>
      <x:c r="M32" s="62" t="n">
        <x:v>0</x:v>
      </x:c>
      <x:c r="N32" s="62" t="n">
        <x:v>35.7689</x:v>
      </x:c>
      <x:c r="O32" s="62" t="n">
        <x:v>70.347</x:v>
      </x:c>
      <x:c r="P32" s="62" t="n">
        <x:f>IF(OR(N32="",O32=""),"",2*N32*O32/(N32+O32))</x:f>
        <x:v>47.424274935235914</x:v>
      </x:c>
      <x:c r="Q32" t="str">
        <x:v>오열에서_오열2_1시간 측정_1.png; 오열에서_오열2_1시간 측정_2.png</x:v>
      </x:c>
      <x:c r="R32" t="str">
        <x:v>기존 Excel 대응</x:v>
      </x:c>
      <x:c r="S32" t="str"/>
    </x:row>
    <x:row r="33" ht="15" hidden="0" customHeight="1">
      <x:c r="A33" t="str">
        <x:v>OPEN2_1H_R1</x:v>
      </x:c>
      <x:c r="B33" t="str">
        <x:v>일반</x:v>
      </x:c>
      <x:c r="C33" t="str">
        <x:v>오픈열람실2</x:v>
      </x:c>
      <x:c r="D33" t="str">
        <x:v>오픈열람실2 AP</x:v>
      </x:c>
      <x:c r="E33" t="str">
        <x:v>고정</x:v>
      </x:c>
      <x:c r="F33" t="n">
        <x:v>60</x:v>
      </x:c>
      <x:c r="G33" t="n">
        <x:v>1</x:v>
      </x:c>
      <x:c r="H33" t="n">
        <x:v>32</x:v>
      </x:c>
      <x:c r="I33" s="62" t="n">
        <x:v>-52</x:v>
      </x:c>
      <x:c r="J33" s="62" t="n">
        <x:v>1201</x:v>
      </x:c>
      <x:c r="K33" s="62" t="n">
        <x:v>38</x:v>
      </x:c>
      <x:c r="L33" s="62" t="n">
        <x:v>6</x:v>
      </x:c>
      <x:c r="M33" s="62" t="n">
        <x:v>0</x:v>
      </x:c>
      <x:c r="N33" s="62" t="n">
        <x:v>61.9018</x:v>
      </x:c>
      <x:c r="O33" s="62" t="n">
        <x:v>89.5753</x:v>
      </x:c>
      <x:c r="P33" s="62" t="n">
        <x:f>IF(OR(N33="",O33=""),"",2*N33*O33/(N33+O33))</x:f>
        <x:v>73.21070056846875</x:v>
      </x:c>
      <x:c r="Q33" t="str">
        <x:v>오열에서_오열2_1시간 측정_1.png; 오열에서_오열2_1시간 측정_2.png</x:v>
      </x:c>
      <x:c r="R33" t="str">
        <x:v>기존 Excel 대응</x:v>
      </x:c>
      <x:c r="S33" t="str"/>
    </x:row>
    <x:row r="34" ht="15" hidden="0" customHeight="1">
      <x:c r="A34" t="str">
        <x:v>OPEN2_1H_R1</x:v>
      </x:c>
      <x:c r="B34" t="str">
        <x:v>일반</x:v>
      </x:c>
      <x:c r="C34" t="str">
        <x:v>오픈열람실2</x:v>
      </x:c>
      <x:c r="D34" t="str">
        <x:v>오픈열람실2 AP</x:v>
      </x:c>
      <x:c r="E34" t="str">
        <x:v>고정</x:v>
      </x:c>
      <x:c r="F34" t="n">
        <x:v>60</x:v>
      </x:c>
      <x:c r="G34" t="n">
        <x:v>1</x:v>
      </x:c>
      <x:c r="H34" t="n">
        <x:v>33</x:v>
      </x:c>
      <x:c r="I34" s="62" t="n">
        <x:v>-56</x:v>
      </x:c>
      <x:c r="J34" s="62" t="n">
        <x:v>1201</x:v>
      </x:c>
      <x:c r="K34" s="62" t="n">
        <x:v>25</x:v>
      </x:c>
      <x:c r="L34" s="62" t="n">
        <x:v>9</x:v>
      </x:c>
      <x:c r="M34" s="62" t="n">
        <x:v>0</x:v>
      </x:c>
      <x:c r="N34" s="62" t="n">
        <x:v>30.6278</x:v>
      </x:c>
      <x:c r="O34" s="62" t="n">
        <x:v>64.5924</x:v>
      </x:c>
      <x:c r="P34" s="62" t="n">
        <x:f>IF(OR(N34="",O34=""),"",2*N34*O34/(N34+O34))</x:f>
        <x:v>41.55259301534758</x:v>
      </x:c>
      <x:c r="Q34" t="str">
        <x:v>오열에서_오열2_1시간 측정_1.png; 오열에서_오열2_1시간 측정_2.png</x:v>
      </x:c>
      <x:c r="R34" t="str">
        <x:v>기존 Excel 대응</x:v>
      </x:c>
      <x:c r="S34" t="str"/>
    </x:row>
    <x:row r="35" ht="15" hidden="0" customHeight="1">
      <x:c r="A35" t="str">
        <x:v>OPEN2_1H_R1</x:v>
      </x:c>
      <x:c r="B35" t="str">
        <x:v>일반</x:v>
      </x:c>
      <x:c r="C35" t="str">
        <x:v>오픈열람실2</x:v>
      </x:c>
      <x:c r="D35" t="str">
        <x:v>오픈열람실2 AP</x:v>
      </x:c>
      <x:c r="E35" t="str">
        <x:v>고정</x:v>
      </x:c>
      <x:c r="F35" t="n">
        <x:v>60</x:v>
      </x:c>
      <x:c r="G35" t="n">
        <x:v>1</x:v>
      </x:c>
      <x:c r="H35" t="n">
        <x:v>34</x:v>
      </x:c>
      <x:c r="I35" s="62" t="n">
        <x:v>-56</x:v>
      </x:c>
      <x:c r="J35" s="62" t="n">
        <x:v>1201</x:v>
      </x:c>
      <x:c r="K35" s="62" t="n">
        <x:v>29</x:v>
      </x:c>
      <x:c r="L35" s="62" t="n">
        <x:v>9</x:v>
      </x:c>
      <x:c r="M35" s="62" t="n">
        <x:v>0</x:v>
      </x:c>
      <x:c r="N35" s="62" t="n">
        <x:v>65.887</x:v>
      </x:c>
      <x:c r="O35" s="62" t="n">
        <x:v>83.5266</x:v>
      </x:c>
      <x:c r="P35" s="62" t="n">
        <x:f>IF(OR(N35="",O35=""),"",2*N35*O35/(N35+O35))</x:f>
        <x:v>73.66554442433622</x:v>
      </x:c>
      <x:c r="Q35" t="str">
        <x:v>오열에서_오열2_1시간 측정_1.png; 오열에서_오열2_1시간 측정_2.png</x:v>
      </x:c>
      <x:c r="R35" t="str">
        <x:v>기존 Excel 대응</x:v>
      </x:c>
      <x:c r="S35" t="str"/>
    </x:row>
    <x:row r="36" ht="15" hidden="0" customHeight="1">
      <x:c r="A36" t="str">
        <x:v>OPEN2_1H_R1</x:v>
      </x:c>
      <x:c r="B36" t="str">
        <x:v>일반</x:v>
      </x:c>
      <x:c r="C36" t="str">
        <x:v>오픈열람실2</x:v>
      </x:c>
      <x:c r="D36" t="str">
        <x:v>오픈열람실2 AP</x:v>
      </x:c>
      <x:c r="E36" t="str">
        <x:v>고정</x:v>
      </x:c>
      <x:c r="F36" t="n">
        <x:v>60</x:v>
      </x:c>
      <x:c r="G36" t="n">
        <x:v>1</x:v>
      </x:c>
      <x:c r="H36" t="n">
        <x:v>35</x:v>
      </x:c>
      <x:c r="I36" s="62" t="n">
        <x:v>-51</x:v>
      </x:c>
      <x:c r="J36" s="62" t="n">
        <x:v>1201</x:v>
      </x:c>
      <x:c r="K36" s="62" t="n">
        <x:v>50</x:v>
      </x:c>
      <x:c r="L36" s="62" t="n">
        <x:v>5</x:v>
      </x:c>
      <x:c r="M36" s="62" t="n">
        <x:v>0</x:v>
      </x:c>
      <x:c r="N36" s="62" t="n">
        <x:v>95.0168</x:v>
      </x:c>
      <x:c r="O36" s="62" t="n">
        <x:v>78.0511</x:v>
      </x:c>
      <x:c r="P36" s="62" t="n">
        <x:f>IF(OR(N36="",O36=""),"",2*N36*O36/(N36+O36))</x:f>
        <x:v>85.70238338224478</x:v>
      </x:c>
      <x:c r="Q36" t="str">
        <x:v>오열에서_오열2_1시간 측정_1.png; 오열에서_오열2_1시간 측정_2.png</x:v>
      </x:c>
      <x:c r="R36" t="str">
        <x:v>기존 Excel 대응</x:v>
      </x:c>
      <x:c r="S36" t="str"/>
    </x:row>
    <x:row r="37" ht="15" hidden="0" customHeight="1">
      <x:c r="A37" t="str">
        <x:v>OPEN2_1H_R1</x:v>
      </x:c>
      <x:c r="B37" t="str">
        <x:v>일반</x:v>
      </x:c>
      <x:c r="C37" t="str">
        <x:v>오픈열람실2</x:v>
      </x:c>
      <x:c r="D37" t="str">
        <x:v>오픈열람실2 AP</x:v>
      </x:c>
      <x:c r="E37" t="str">
        <x:v>고정</x:v>
      </x:c>
      <x:c r="F37" t="n">
        <x:v>60</x:v>
      </x:c>
      <x:c r="G37" t="n">
        <x:v>1</x:v>
      </x:c>
      <x:c r="H37" t="n">
        <x:v>36</x:v>
      </x:c>
      <x:c r="I37" s="62" t="n">
        <x:v>-52</x:v>
      </x:c>
      <x:c r="J37" s="62" t="n">
        <x:v>1201</x:v>
      </x:c>
      <x:c r="K37" s="62" t="n">
        <x:v>53</x:v>
      </x:c>
      <x:c r="L37" s="62" t="n">
        <x:v>8</x:v>
      </x:c>
      <x:c r="M37" s="62" t="n">
        <x:v>0</x:v>
      </x:c>
      <x:c r="N37" s="62" t="n">
        <x:v>79.2869</x:v>
      </x:c>
      <x:c r="O37" s="62" t="n">
        <x:v>123.0053</x:v>
      </x:c>
      <x:c r="P37" s="62" t="n">
        <x:f>IF(OR(N37="",O37=""),"",2*N37*O37/(N37+O37))</x:f>
        <x:v>96.42199670150407</x:v>
      </x:c>
      <x:c r="Q37" t="str">
        <x:v>오열에서_오열2_1시간 측정_1.png; 오열에서_오열2_1시간 측정_2.png</x:v>
      </x:c>
      <x:c r="R37" t="str">
        <x:v>기존 Excel 대응</x:v>
      </x:c>
      <x:c r="S37" t="str"/>
    </x:row>
    <x:row r="38" ht="15" hidden="0" customHeight="1">
      <x:c r="A38" t="str">
        <x:v>OPEN2_1H_R1</x:v>
      </x:c>
      <x:c r="B38" t="str">
        <x:v>일반</x:v>
      </x:c>
      <x:c r="C38" t="str">
        <x:v>오픈열람실2</x:v>
      </x:c>
      <x:c r="D38" t="str">
        <x:v>오픈열람실2 AP</x:v>
      </x:c>
      <x:c r="E38" t="str">
        <x:v>고정</x:v>
      </x:c>
      <x:c r="F38" t="n">
        <x:v>60</x:v>
      </x:c>
      <x:c r="G38" t="n">
        <x:v>1</x:v>
      </x:c>
      <x:c r="H38" t="n">
        <x:v>37</x:v>
      </x:c>
      <x:c r="I38" s="62" t="n">
        <x:v>-52</x:v>
      </x:c>
      <x:c r="J38" s="62" t="n">
        <x:v>1201</x:v>
      </x:c>
      <x:c r="K38" s="62" t="n">
        <x:v>43</x:v>
      </x:c>
      <x:c r="L38" s="62" t="n">
        <x:v>7</x:v>
      </x:c>
      <x:c r="M38" s="62" t="n">
        <x:v>0</x:v>
      </x:c>
      <x:c r="N38" s="62" t="n">
        <x:v>120.475</x:v>
      </x:c>
      <x:c r="O38" s="62" t="n">
        <x:v>116.4957</x:v>
      </x:c>
      <x:c r="P38" s="62" t="n">
        <x:f>IF(OR(N38="",O38=""),"",2*N38*O38/(N38+O38))</x:f>
        <x:v>118.45193905828864</x:v>
      </x:c>
      <x:c r="Q38" t="str">
        <x:v>오열에서_오열2_1시간 측정_1.png; 오열에서_오열2_1시간 측정_2.png</x:v>
      </x:c>
      <x:c r="R38" t="str">
        <x:v>기존 Excel 대응</x:v>
      </x:c>
      <x:c r="S38" t="str"/>
    </x:row>
    <x:row r="39" ht="15" hidden="0" customHeight="1">
      <x:c r="A39" t="str">
        <x:v>OPEN2_1H_R1</x:v>
      </x:c>
      <x:c r="B39" t="str">
        <x:v>일반</x:v>
      </x:c>
      <x:c r="C39" t="str">
        <x:v>오픈열람실2</x:v>
      </x:c>
      <x:c r="D39" t="str">
        <x:v>오픈열람실2 AP</x:v>
      </x:c>
      <x:c r="E39" t="str">
        <x:v>고정</x:v>
      </x:c>
      <x:c r="F39" t="n">
        <x:v>60</x:v>
      </x:c>
      <x:c r="G39" t="n">
        <x:v>1</x:v>
      </x:c>
      <x:c r="H39" t="n">
        <x:v>38</x:v>
      </x:c>
      <x:c r="I39" s="62" t="n">
        <x:v>-55</x:v>
      </x:c>
      <x:c r="J39" s="62" t="n">
        <x:v>1201</x:v>
      </x:c>
      <x:c r="K39" s="62" t="n">
        <x:v>43</x:v>
      </x:c>
      <x:c r="L39" s="62" t="n">
        <x:v>10</x:v>
      </x:c>
      <x:c r="M39" s="62" t="n">
        <x:v>0</x:v>
      </x:c>
      <x:c r="N39" s="62" t="n">
        <x:v>14.4332</x:v>
      </x:c>
      <x:c r="O39" s="62" t="n">
        <x:v>24.6571</x:v>
      </x:c>
      <x:c r="P39" s="62" t="n">
        <x:f>IF(OR(N39="",O39=""),"",2*N39*O39/(N39+O39))</x:f>
        <x:v>18.208141442762017</x:v>
      </x:c>
      <x:c r="Q39" t="str">
        <x:v>오열에서_오열2_1시간 측정_1.png; 오열에서_오열2_1시간 측정_2.png</x:v>
      </x:c>
      <x:c r="R39" t="str">
        <x:v>기존 Excel 대응</x:v>
      </x:c>
      <x:c r="S39" t="str"/>
    </x:row>
    <x:row r="40" ht="15" hidden="0" customHeight="1">
      <x:c r="A40" t="str">
        <x:v>OPEN2_1H_R1</x:v>
      </x:c>
      <x:c r="B40" t="str">
        <x:v>일반</x:v>
      </x:c>
      <x:c r="C40" t="str">
        <x:v>오픈열람실2</x:v>
      </x:c>
      <x:c r="D40" t="str">
        <x:v>오픈열람실2 AP</x:v>
      </x:c>
      <x:c r="E40" t="str">
        <x:v>고정</x:v>
      </x:c>
      <x:c r="F40" t="n">
        <x:v>60</x:v>
      </x:c>
      <x:c r="G40" t="n">
        <x:v>1</x:v>
      </x:c>
      <x:c r="H40" t="n">
        <x:v>39</x:v>
      </x:c>
      <x:c r="I40" s="62" t="n">
        <x:v>-55</x:v>
      </x:c>
      <x:c r="J40" s="62" t="n">
        <x:v>1201</x:v>
      </x:c>
      <x:c r="K40" s="62" t="n">
        <x:v>38</x:v>
      </x:c>
      <x:c r="L40" s="62" t="n">
        <x:v>5</x:v>
      </x:c>
      <x:c r="M40" s="62" t="n">
        <x:v>0</x:v>
      </x:c>
      <x:c r="N40" s="62" t="n">
        <x:v>94.8002</x:v>
      </x:c>
      <x:c r="O40" s="62" t="n">
        <x:v>105.9829</x:v>
      </x:c>
      <x:c r="P40" s="62" t="n">
        <x:f>IF(OR(N40="",O40=""),"",2*N40*O40/(N40+O40))</x:f>
        <x:v>100.08013738785786</x:v>
      </x:c>
      <x:c r="Q40" t="str">
        <x:v>오열에서_오열2_1시간 측정_1.png; 오열에서_오열2_1시간 측정_2.png</x:v>
      </x:c>
      <x:c r="R40" t="str">
        <x:v>기존 Excel 대응</x:v>
      </x:c>
      <x:c r="S40" t="str"/>
    </x:row>
    <x:row r="41" ht="15" hidden="0" customHeight="1">
      <x:c r="A41" t="str">
        <x:v>OPEN2_1H_R1</x:v>
      </x:c>
      <x:c r="B41" t="str">
        <x:v>일반</x:v>
      </x:c>
      <x:c r="C41" t="str">
        <x:v>오픈열람실2</x:v>
      </x:c>
      <x:c r="D41" t="str">
        <x:v>오픈열람실2 AP</x:v>
      </x:c>
      <x:c r="E41" t="str">
        <x:v>고정</x:v>
      </x:c>
      <x:c r="F41" t="n">
        <x:v>60</x:v>
      </x:c>
      <x:c r="G41" t="n">
        <x:v>1</x:v>
      </x:c>
      <x:c r="H41" t="n">
        <x:v>40</x:v>
      </x:c>
      <x:c r="I41" s="62" t="n">
        <x:v>-53</x:v>
      </x:c>
      <x:c r="J41" s="62" t="n">
        <x:v>1201</x:v>
      </x:c>
      <x:c r="K41" s="62" t="n">
        <x:v>24</x:v>
      </x:c>
      <x:c r="L41" s="62" t="n">
        <x:v>9</x:v>
      </x:c>
      <x:c r="M41" s="62" t="n">
        <x:v>0</x:v>
      </x:c>
      <x:c r="N41" s="62" t="n">
        <x:v>116.1233</x:v>
      </x:c>
      <x:c r="O41" s="62" t="n">
        <x:v>94.4994</x:v>
      </x:c>
      <x:c r="P41" s="62" t="n">
        <x:f>IF(OR(N41="",O41=""),"",2*N41*O41/(N41+O41))</x:f>
        <x:v>104.2013247007089</x:v>
      </x:c>
      <x:c r="Q41" t="str">
        <x:v>오열에서_오열2_1시간 측정_1.png; 오열에서_오열2_1시간 측정_2.png</x:v>
      </x:c>
      <x:c r="R41" t="str">
        <x:v>기존 Excel 대응</x:v>
      </x:c>
      <x:c r="S41" t="str"/>
    </x:row>
    <x:row r="42" ht="15" hidden="0" customHeight="1">
      <x:c r="A42" t="str">
        <x:v>OPEN2_1H_R1</x:v>
      </x:c>
      <x:c r="B42" t="str">
        <x:v>일반</x:v>
      </x:c>
      <x:c r="C42" t="str">
        <x:v>오픈열람실2</x:v>
      </x:c>
      <x:c r="D42" t="str">
        <x:v>오픈열람실2 AP</x:v>
      </x:c>
      <x:c r="E42" t="str">
        <x:v>고정</x:v>
      </x:c>
      <x:c r="F42" t="n">
        <x:v>60</x:v>
      </x:c>
      <x:c r="G42" t="n">
        <x:v>1</x:v>
      </x:c>
      <x:c r="H42" t="n">
        <x:v>41</x:v>
      </x:c>
      <x:c r="I42" s="62" t="n">
        <x:v>-51</x:v>
      </x:c>
      <x:c r="J42" s="62" t="n">
        <x:v>1201</x:v>
      </x:c>
      <x:c r="K42" s="62" t="n">
        <x:v>33</x:v>
      </x:c>
      <x:c r="L42" s="62" t="n">
        <x:v>7</x:v>
      </x:c>
      <x:c r="M42" s="62" t="n">
        <x:v>0</x:v>
      </x:c>
      <x:c r="N42" s="62" t="n">
        <x:v>131.4265</x:v>
      </x:c>
      <x:c r="O42" s="62" t="n">
        <x:v>112.7786</x:v>
      </x:c>
      <x:c r="P42" s="62" t="n">
        <x:f>IF(OR(N42="",O42=""),"",2*N42*O42/(N42+O42))</x:f>
        <x:v>121.39055796050123</x:v>
      </x:c>
      <x:c r="Q42" t="str">
        <x:v>오열에서_오열2_1시간 측정_1.png; 오열에서_오열2_1시간 측정_2.png</x:v>
      </x:c>
      <x:c r="R42" t="str">
        <x:v>기존 Excel 대응</x:v>
      </x:c>
      <x:c r="S42" t="str"/>
    </x:row>
    <x:row r="43" ht="15" hidden="0" customHeight="1">
      <x:c r="A43" t="str">
        <x:v>OPEN2_1H_R1</x:v>
      </x:c>
      <x:c r="B43" t="str">
        <x:v>일반</x:v>
      </x:c>
      <x:c r="C43" t="str">
        <x:v>오픈열람실2</x:v>
      </x:c>
      <x:c r="D43" t="str">
        <x:v>오픈열람실2 AP</x:v>
      </x:c>
      <x:c r="E43" t="str">
        <x:v>고정</x:v>
      </x:c>
      <x:c r="F43" t="n">
        <x:v>60</x:v>
      </x:c>
      <x:c r="G43" t="n">
        <x:v>1</x:v>
      </x:c>
      <x:c r="H43" t="n">
        <x:v>42</x:v>
      </x:c>
      <x:c r="I43" s="62" t="n">
        <x:v>-52</x:v>
      </x:c>
      <x:c r="J43" s="62" t="n">
        <x:v>1201</x:v>
      </x:c>
      <x:c r="K43" s="62" t="n">
        <x:v>27</x:v>
      </x:c>
      <x:c r="L43" s="62" t="n">
        <x:v>8</x:v>
      </x:c>
      <x:c r="M43" s="62" t="n">
        <x:v>0</x:v>
      </x:c>
      <x:c r="N43" s="62" t="n">
        <x:v>158.422</x:v>
      </x:c>
      <x:c r="O43" s="62" t="n">
        <x:v>114.5468</x:v>
      </x:c>
      <x:c r="P43" s="62" t="n">
        <x:f>IF(OR(N43="",O43=""),"",2*N43*O43/(N43+O43))</x:f>
        <x:v>132.95829523081028</x:v>
      </x:c>
      <x:c r="Q43" t="str">
        <x:v>오열에서_오열2_1시간 측정_1.png; 오열에서_오열2_1시간 측정_2.png</x:v>
      </x:c>
      <x:c r="R43" t="str">
        <x:v>기존 Excel 대응</x:v>
      </x:c>
      <x:c r="S43" t="str"/>
    </x:row>
    <x:row r="44" ht="15" hidden="0" customHeight="1">
      <x:c r="A44" t="str">
        <x:v>OPEN2_1H_R1</x:v>
      </x:c>
      <x:c r="B44" t="str">
        <x:v>일반</x:v>
      </x:c>
      <x:c r="C44" t="str">
        <x:v>오픈열람실2</x:v>
      </x:c>
      <x:c r="D44" t="str">
        <x:v>오픈열람실2 AP</x:v>
      </x:c>
      <x:c r="E44" t="str">
        <x:v>고정</x:v>
      </x:c>
      <x:c r="F44" t="n">
        <x:v>60</x:v>
      </x:c>
      <x:c r="G44" t="n">
        <x:v>1</x:v>
      </x:c>
      <x:c r="H44" t="n">
        <x:v>43</x:v>
      </x:c>
      <x:c r="I44" s="62" t="n">
        <x:v>-51</x:v>
      </x:c>
      <x:c r="J44" s="62" t="n">
        <x:v>1201</x:v>
      </x:c>
      <x:c r="K44" s="62" t="n">
        <x:v>28</x:v>
      </x:c>
      <x:c r="L44" s="62" t="n">
        <x:v>4</x:v>
      </x:c>
      <x:c r="M44" s="62" t="n">
        <x:v>0</x:v>
      </x:c>
      <x:c r="N44" s="62" t="n">
        <x:v>45.8783</x:v>
      </x:c>
      <x:c r="O44" s="62" t="n">
        <x:v>119.0284</x:v>
      </x:c>
      <x:c r="P44" s="62" t="n">
        <x:f>IF(OR(N44="",O44=""),"",2*N44*O44/(N44+O44))</x:f>
        <x:v>66.22921498908171</x:v>
      </x:c>
      <x:c r="Q44" t="str">
        <x:v>오열에서_오열2_1시간 측정_1.png; 오열에서_오열2_1시간 측정_2.png</x:v>
      </x:c>
      <x:c r="R44" t="str">
        <x:v>기존 Excel 대응</x:v>
      </x:c>
      <x:c r="S44" t="str"/>
    </x:row>
    <x:row r="45" ht="15" hidden="0" customHeight="1">
      <x:c r="A45" t="str">
        <x:v>OPEN2_1H_R1</x:v>
      </x:c>
      <x:c r="B45" t="str">
        <x:v>일반</x:v>
      </x:c>
      <x:c r="C45" t="str">
        <x:v>오픈열람실2</x:v>
      </x:c>
      <x:c r="D45" t="str">
        <x:v>오픈열람실2 AP</x:v>
      </x:c>
      <x:c r="E45" t="str">
        <x:v>고정</x:v>
      </x:c>
      <x:c r="F45" t="n">
        <x:v>60</x:v>
      </x:c>
      <x:c r="G45" t="n">
        <x:v>1</x:v>
      </x:c>
      <x:c r="H45" t="n">
        <x:v>44</x:v>
      </x:c>
      <x:c r="I45" s="62" t="n">
        <x:v>-55</x:v>
      </x:c>
      <x:c r="J45" s="62" t="n">
        <x:v>1201</x:v>
      </x:c>
      <x:c r="K45" s="62" t="n">
        <x:v>27</x:v>
      </x:c>
      <x:c r="L45" s="62" t="n">
        <x:v>12</x:v>
      </x:c>
      <x:c r="M45" s="62" t="n">
        <x:v>0</x:v>
      </x:c>
      <x:c r="N45" s="62" t="n">
        <x:v>83.5897</x:v>
      </x:c>
      <x:c r="O45" s="62" t="n">
        <x:v>77.1191</x:v>
      </x:c>
      <x:c r="P45" s="62" t="n">
        <x:f>IF(OR(N45="",O45=""),"",2*N45*O45/(N45+O45))</x:f>
        <x:v>80.22413748680844</x:v>
      </x:c>
      <x:c r="Q45" t="str">
        <x:v>오열에서_오열2_1시간 측정_1.png; 오열에서_오열2_1시간 측정_2.png</x:v>
      </x:c>
      <x:c r="R45" t="str">
        <x:v>기존 Excel 대응</x:v>
      </x:c>
      <x:c r="S45" t="str"/>
    </x:row>
    <x:row r="46" ht="15" hidden="0" customHeight="1">
      <x:c r="A46" t="str">
        <x:v>OPEN2_1H_R1</x:v>
      </x:c>
      <x:c r="B46" t="str">
        <x:v>일반</x:v>
      </x:c>
      <x:c r="C46" t="str">
        <x:v>오픈열람실2</x:v>
      </x:c>
      <x:c r="D46" t="str">
        <x:v>오픈열람실2 AP</x:v>
      </x:c>
      <x:c r="E46" t="str">
        <x:v>고정</x:v>
      </x:c>
      <x:c r="F46" t="n">
        <x:v>60</x:v>
      </x:c>
      <x:c r="G46" t="n">
        <x:v>1</x:v>
      </x:c>
      <x:c r="H46" t="n">
        <x:v>45</x:v>
      </x:c>
      <x:c r="I46" s="62" t="n">
        <x:v>-54</x:v>
      </x:c>
      <x:c r="J46" s="62" t="n">
        <x:v>1201</x:v>
      </x:c>
      <x:c r="K46" s="62" t="n">
        <x:v>52</x:v>
      </x:c>
      <x:c r="L46" s="62" t="n">
        <x:v>7</x:v>
      </x:c>
      <x:c r="M46" s="62" t="n">
        <x:v>0</x:v>
      </x:c>
      <x:c r="N46" s="62"/>
      <x:c r="O46" s="62" t="n">
        <x:v>122.3232</x:v>
      </x:c>
      <x:c r="P46" s="62" t="str">
        <x:f>IF(OR(N46="",O46=""),"",2*N46*O46/(N46+O46))</x:f>
      </x:c>
      <x:c r="Q46" t="str">
        <x:v>오열에서_오열2_1시간 측정_1.png; 오열에서_오열2_1시간 측정_2.png</x:v>
      </x:c>
      <x:c r="R46" t="str">
        <x:v>기존 Excel 대응</x:v>
      </x:c>
      <x:c r="S46" t="str">
        <x:v>원본 이미지에서 NaN 확인</x:v>
      </x:c>
    </x:row>
    <x:row r="47" ht="15" hidden="0" customHeight="1">
      <x:c r="A47" t="str">
        <x:v>OPEN2_1H_R1</x:v>
      </x:c>
      <x:c r="B47" t="str">
        <x:v>일반</x:v>
      </x:c>
      <x:c r="C47" t="str">
        <x:v>오픈열람실2</x:v>
      </x:c>
      <x:c r="D47" t="str">
        <x:v>오픈열람실2 AP</x:v>
      </x:c>
      <x:c r="E47" t="str">
        <x:v>고정</x:v>
      </x:c>
      <x:c r="F47" t="n">
        <x:v>60</x:v>
      </x:c>
      <x:c r="G47" t="n">
        <x:v>1</x:v>
      </x:c>
      <x:c r="H47" t="n">
        <x:v>46</x:v>
      </x:c>
      <x:c r="I47" s="62" t="n">
        <x:v>-59</x:v>
      </x:c>
      <x:c r="J47" s="62" t="n">
        <x:v>1201</x:v>
      </x:c>
      <x:c r="K47" s="62" t="n">
        <x:v>28</x:v>
      </x:c>
      <x:c r="L47" s="62" t="n">
        <x:v>6</x:v>
      </x:c>
      <x:c r="M47" s="62" t="n">
        <x:v>0</x:v>
      </x:c>
      <x:c r="N47" s="62" t="n">
        <x:v>96.4676</x:v>
      </x:c>
      <x:c r="O47" s="62" t="n">
        <x:v>134.9196</x:v>
      </x:c>
      <x:c r="P47" s="62" t="n">
        <x:f>IF(OR(N47="",O47=""),"",2*N47*O47/(N47+O47))</x:f>
        <x:v>112.49861707959646</x:v>
      </x:c>
      <x:c r="Q47" t="str">
        <x:v>오열에서_오열2_1시간 측정_1.png; 오열에서_오열2_1시간 측정_2.png</x:v>
      </x:c>
      <x:c r="R47" t="str">
        <x:v>기존 Excel 대응</x:v>
      </x:c>
      <x:c r="S47" t="str"/>
    </x:row>
    <x:row r="48" ht="15" hidden="0" customHeight="1">
      <x:c r="A48" t="str">
        <x:v>OPEN2_1H_R1</x:v>
      </x:c>
      <x:c r="B48" t="str">
        <x:v>일반</x:v>
      </x:c>
      <x:c r="C48" t="str">
        <x:v>오픈열람실2</x:v>
      </x:c>
      <x:c r="D48" t="str">
        <x:v>오픈열람실2 AP</x:v>
      </x:c>
      <x:c r="E48" t="str">
        <x:v>고정</x:v>
      </x:c>
      <x:c r="F48" t="n">
        <x:v>60</x:v>
      </x:c>
      <x:c r="G48" t="n">
        <x:v>1</x:v>
      </x:c>
      <x:c r="H48" t="n">
        <x:v>47</x:v>
      </x:c>
      <x:c r="I48" s="62" t="n">
        <x:v>-55</x:v>
      </x:c>
      <x:c r="J48" s="62" t="n">
        <x:v>1201</x:v>
      </x:c>
      <x:c r="K48" s="62" t="n">
        <x:v>29</x:v>
      </x:c>
      <x:c r="L48" s="62" t="n">
        <x:v>9</x:v>
      </x:c>
      <x:c r="M48" s="62" t="n">
        <x:v>0</x:v>
      </x:c>
      <x:c r="N48" s="62" t="n">
        <x:v>104.7025</x:v>
      </x:c>
      <x:c r="O48" s="62" t="n">
        <x:v>133.6428</x:v>
      </x:c>
      <x:c r="P48" s="62" t="n">
        <x:f>IF(OR(N48="",O48=""),"",2*N48*O48/(N48+O48))</x:f>
        <x:v>117.41565927249246</x:v>
      </x:c>
      <x:c r="Q48" t="str">
        <x:v>오열에서_오열2_1시간 측정_1.png; 오열에서_오열2_1시간 측정_2.png</x:v>
      </x:c>
      <x:c r="R48" t="str">
        <x:v>기존 Excel 대응</x:v>
      </x:c>
      <x:c r="S48" t="str"/>
    </x:row>
    <x:row r="49" ht="15" hidden="0" customHeight="1">
      <x:c r="A49" t="str">
        <x:v>OPEN2_1H_R1</x:v>
      </x:c>
      <x:c r="B49" t="str">
        <x:v>일반</x:v>
      </x:c>
      <x:c r="C49" t="str">
        <x:v>오픈열람실2</x:v>
      </x:c>
      <x:c r="D49" t="str">
        <x:v>오픈열람실2 AP</x:v>
      </x:c>
      <x:c r="E49" t="str">
        <x:v>고정</x:v>
      </x:c>
      <x:c r="F49" t="n">
        <x:v>60</x:v>
      </x:c>
      <x:c r="G49" t="n">
        <x:v>1</x:v>
      </x:c>
      <x:c r="H49" t="n">
        <x:v>48</x:v>
      </x:c>
      <x:c r="I49" s="62" t="n">
        <x:v>-52</x:v>
      </x:c>
      <x:c r="J49" s="62" t="n">
        <x:v>1201</x:v>
      </x:c>
      <x:c r="K49" s="62" t="n">
        <x:v>21</x:v>
      </x:c>
      <x:c r="L49" s="62" t="n">
        <x:v>4</x:v>
      </x:c>
      <x:c r="M49" s="62" t="n">
        <x:v>0</x:v>
      </x:c>
      <x:c r="N49" s="62" t="n">
        <x:v>44.6387</x:v>
      </x:c>
      <x:c r="O49" s="62" t="n">
        <x:v>129.235</x:v>
      </x:c>
      <x:c r="P49" s="62" t="n">
        <x:f>IF(OR(N49="",O49=""),"",2*N49*O49/(N49+O49))</x:f>
        <x:v>66.35715918508664</x:v>
      </x:c>
      <x:c r="Q49" t="str">
        <x:v>오열에서_오열2_1시간 측정_1.png; 오열에서_오열2_1시간 측정_2.png</x:v>
      </x:c>
      <x:c r="R49" t="str">
        <x:v>기존 Excel 대응</x:v>
      </x:c>
      <x:c r="S49" t="str"/>
    </x:row>
    <x:row r="50" ht="15" hidden="0" customHeight="1">
      <x:c r="A50" t="str">
        <x:v>OPEN2_1H_R1</x:v>
      </x:c>
      <x:c r="B50" t="str">
        <x:v>일반</x:v>
      </x:c>
      <x:c r="C50" t="str">
        <x:v>오픈열람실2</x:v>
      </x:c>
      <x:c r="D50" t="str">
        <x:v>오픈열람실2 AP</x:v>
      </x:c>
      <x:c r="E50" t="str">
        <x:v>고정</x:v>
      </x:c>
      <x:c r="F50" t="n">
        <x:v>60</x:v>
      </x:c>
      <x:c r="G50" t="n">
        <x:v>1</x:v>
      </x:c>
      <x:c r="H50" t="n">
        <x:v>49</x:v>
      </x:c>
      <x:c r="I50" s="62" t="n">
        <x:v>-52</x:v>
      </x:c>
      <x:c r="J50" s="62" t="n">
        <x:v>1201</x:v>
      </x:c>
      <x:c r="K50" s="62" t="n">
        <x:v>12</x:v>
      </x:c>
      <x:c r="L50" s="62" t="n">
        <x:v>8</x:v>
      </x:c>
      <x:c r="M50" s="62" t="n">
        <x:v>0</x:v>
      </x:c>
      <x:c r="N50" s="62" t="n">
        <x:v>113.1937</x:v>
      </x:c>
      <x:c r="O50" s="62" t="n">
        <x:v>70.7292</x:v>
      </x:c>
      <x:c r="P50" s="62" t="n">
        <x:f>IF(OR(N50="",O50=""),"",2*N50*O50/(N50+O50))</x:f>
        <x:v>87.05930415451257</x:v>
      </x:c>
      <x:c r="Q50" t="str">
        <x:v>오열에서_오열2_1시간 측정_1.png; 오열에서_오열2_1시간 측정_2.png</x:v>
      </x:c>
      <x:c r="R50" t="str">
        <x:v>기존 Excel 대응</x:v>
      </x:c>
      <x:c r="S50" t="str"/>
    </x:row>
    <x:row r="51" ht="15" hidden="0" customHeight="1">
      <x:c r="A51" t="str">
        <x:v>OPEN2_1H_R1</x:v>
      </x:c>
      <x:c r="B51" t="str">
        <x:v>일반</x:v>
      </x:c>
      <x:c r="C51" t="str">
        <x:v>오픈열람실2</x:v>
      </x:c>
      <x:c r="D51" t="str">
        <x:v>오픈열람실2 AP</x:v>
      </x:c>
      <x:c r="E51" t="str">
        <x:v>고정</x:v>
      </x:c>
      <x:c r="F51" t="n">
        <x:v>60</x:v>
      </x:c>
      <x:c r="G51" t="n">
        <x:v>1</x:v>
      </x:c>
      <x:c r="H51" t="n">
        <x:v>50</x:v>
      </x:c>
      <x:c r="I51" s="62" t="n">
        <x:v>-57</x:v>
      </x:c>
      <x:c r="J51" s="62" t="n">
        <x:v>1201</x:v>
      </x:c>
      <x:c r="K51" s="62" t="n">
        <x:v>50</x:v>
      </x:c>
      <x:c r="L51" s="62" t="n">
        <x:v>8</x:v>
      </x:c>
      <x:c r="M51" s="62" t="n">
        <x:v>0</x:v>
      </x:c>
      <x:c r="N51" s="62"/>
      <x:c r="O51" s="62" t="n">
        <x:v>119.6868</x:v>
      </x:c>
      <x:c r="P51" s="62" t="str">
        <x:f>IF(OR(N51="",O51=""),"",2*N51*O51/(N51+O51))</x:f>
      </x:c>
      <x:c r="Q51" t="str">
        <x:v>오열에서_오열2_1시간 측정_1.png; 오열에서_오열2_1시간 측정_2.png</x:v>
      </x:c>
      <x:c r="R51" t="str">
        <x:v>기존 Excel 대응</x:v>
      </x:c>
      <x:c r="S51" t="str">
        <x:v>원본 이미지에서 NaN 확인</x:v>
      </x:c>
    </x:row>
    <x:row r="52" ht="15" hidden="0" customHeight="1">
      <x:c r="A52" t="str">
        <x:v>OPEN2_1H_R1</x:v>
      </x:c>
      <x:c r="B52" t="str">
        <x:v>일반</x:v>
      </x:c>
      <x:c r="C52" t="str">
        <x:v>오픈열람실2</x:v>
      </x:c>
      <x:c r="D52" t="str">
        <x:v>오픈열람실2 AP</x:v>
      </x:c>
      <x:c r="E52" t="str">
        <x:v>고정</x:v>
      </x:c>
      <x:c r="F52" t="n">
        <x:v>60</x:v>
      </x:c>
      <x:c r="G52" t="n">
        <x:v>1</x:v>
      </x:c>
      <x:c r="H52" t="n">
        <x:v>51</x:v>
      </x:c>
      <x:c r="I52" s="62" t="n">
        <x:v>-54</x:v>
      </x:c>
      <x:c r="J52" s="62" t="n">
        <x:v>1201</x:v>
      </x:c>
      <x:c r="K52" s="62" t="n">
        <x:v>28</x:v>
      </x:c>
      <x:c r="L52" s="62" t="n">
        <x:v>6</x:v>
      </x:c>
      <x:c r="M52" s="62" t="n">
        <x:v>0</x:v>
      </x:c>
      <x:c r="N52" s="62" t="n">
        <x:v>129.7719</x:v>
      </x:c>
      <x:c r="O52" s="62" t="n">
        <x:v>108.1673</x:v>
      </x:c>
      <x:c r="P52" s="62" t="n">
        <x:f>IF(OR(N52="",O52=""),"",2*N52*O52/(N52+O52))</x:f>
        <x:v>117.98876384278</x:v>
      </x:c>
      <x:c r="Q52" t="str">
        <x:v>오열에서_오열2_1시간 측정_1.png; 오열에서_오열2_1시간 측정_2.png</x:v>
      </x:c>
      <x:c r="R52" t="str">
        <x:v>기존 Excel 대응</x:v>
      </x:c>
      <x:c r="S52" t="str"/>
    </x:row>
    <x:row r="53" ht="15" hidden="0" customHeight="1">
      <x:c r="A53" t="str">
        <x:v>OPEN2_1H_R1</x:v>
      </x:c>
      <x:c r="B53" t="str">
        <x:v>일반</x:v>
      </x:c>
      <x:c r="C53" t="str">
        <x:v>오픈열람실2</x:v>
      </x:c>
      <x:c r="D53" t="str">
        <x:v>오픈열람실2 AP</x:v>
      </x:c>
      <x:c r="E53" t="str">
        <x:v>고정</x:v>
      </x:c>
      <x:c r="F53" t="n">
        <x:v>60</x:v>
      </x:c>
      <x:c r="G53" t="n">
        <x:v>1</x:v>
      </x:c>
      <x:c r="H53" t="n">
        <x:v>52</x:v>
      </x:c>
      <x:c r="I53" s="62" t="n">
        <x:v>-56</x:v>
      </x:c>
      <x:c r="J53" s="62" t="n">
        <x:v>1201</x:v>
      </x:c>
      <x:c r="K53" s="62" t="n">
        <x:v>16</x:v>
      </x:c>
      <x:c r="L53" s="62" t="n">
        <x:v>11</x:v>
      </x:c>
      <x:c r="M53" s="62" t="n">
        <x:v>0</x:v>
      </x:c>
      <x:c r="N53" s="62" t="n">
        <x:v>132.016</x:v>
      </x:c>
      <x:c r="O53" s="62" t="n">
        <x:v>137.4023</x:v>
      </x:c>
      <x:c r="P53" s="62" t="n">
        <x:f>IF(OR(N53="",O53=""),"",2*N53*O53/(N53+O53))</x:f>
        <x:v>134.65530765207856</x:v>
      </x:c>
      <x:c r="Q53" t="str">
        <x:v>오열에서_오열2_1시간 측정_1.png; 오열에서_오열2_1시간 측정_2.png</x:v>
      </x:c>
      <x:c r="R53" t="str">
        <x:v>기존 Excel 대응</x:v>
      </x:c>
      <x:c r="S53" t="str"/>
    </x:row>
    <x:row r="54" ht="15" hidden="0" customHeight="1">
      <x:c r="A54" t="str">
        <x:v>OPEN2_1H_R1</x:v>
      </x:c>
      <x:c r="B54" t="str">
        <x:v>일반</x:v>
      </x:c>
      <x:c r="C54" t="str">
        <x:v>오픈열람실2</x:v>
      </x:c>
      <x:c r="D54" t="str">
        <x:v>오픈열람실2 AP</x:v>
      </x:c>
      <x:c r="E54" t="str">
        <x:v>고정</x:v>
      </x:c>
      <x:c r="F54" t="n">
        <x:v>60</x:v>
      </x:c>
      <x:c r="G54" t="n">
        <x:v>1</x:v>
      </x:c>
      <x:c r="H54" t="n">
        <x:v>53</x:v>
      </x:c>
      <x:c r="I54" s="62" t="n">
        <x:v>-56</x:v>
      </x:c>
      <x:c r="J54" s="62" t="n">
        <x:v>1201</x:v>
      </x:c>
      <x:c r="K54" s="62" t="n">
        <x:v>16</x:v>
      </x:c>
      <x:c r="L54" s="62" t="n">
        <x:v>11</x:v>
      </x:c>
      <x:c r="M54" s="62" t="n">
        <x:v>0</x:v>
      </x:c>
      <x:c r="N54" s="62" t="n">
        <x:v>59.5972</x:v>
      </x:c>
      <x:c r="O54" s="62" t="n">
        <x:v>65.7859</x:v>
      </x:c>
      <x:c r="P54" s="62" t="n">
        <x:f>IF(OR(N54="",O54=""),"",2*N54*O54/(N54+O54))</x:f>
        <x:v>62.53881806208333</x:v>
      </x:c>
      <x:c r="Q54" t="str">
        <x:v>오열에서_오열2_1시간 측정_1.png; 오열에서_오열2_1시간 측정_2.png</x:v>
      </x:c>
      <x:c r="R54" t="str">
        <x:v>기존 Excel 대응</x:v>
      </x:c>
      <x:c r="S54" t="str"/>
    </x:row>
    <x:row r="55" ht="15" hidden="0" customHeight="1">
      <x:c r="A55" t="str">
        <x:v>OPEN2_1H_R1</x:v>
      </x:c>
      <x:c r="B55" t="str">
        <x:v>일반</x:v>
      </x:c>
      <x:c r="C55" t="str">
        <x:v>오픈열람실2</x:v>
      </x:c>
      <x:c r="D55" t="str">
        <x:v>오픈열람실2 AP</x:v>
      </x:c>
      <x:c r="E55" t="str">
        <x:v>고정</x:v>
      </x:c>
      <x:c r="F55" t="n">
        <x:v>60</x:v>
      </x:c>
      <x:c r="G55" t="n">
        <x:v>1</x:v>
      </x:c>
      <x:c r="H55" t="n">
        <x:v>54</x:v>
      </x:c>
      <x:c r="I55" s="62" t="n">
        <x:v>-53</x:v>
      </x:c>
      <x:c r="J55" s="62" t="n">
        <x:v>1201</x:v>
      </x:c>
      <x:c r="K55" s="62" t="n">
        <x:v>40</x:v>
      </x:c>
      <x:c r="L55" s="62" t="n">
        <x:v>11</x:v>
      </x:c>
      <x:c r="M55" s="62" t="n">
        <x:v>0</x:v>
      </x:c>
      <x:c r="N55" s="62" t="n">
        <x:v>72.2049</x:v>
      </x:c>
      <x:c r="O55" s="62" t="n">
        <x:v>100.3917</x:v>
      </x:c>
      <x:c r="P55" s="62" t="n">
        <x:f>IF(OR(N55="",O55=""),"",2*N55*O55/(N55+O55))</x:f>
        <x:v>83.9967028241576</x:v>
      </x:c>
      <x:c r="Q55" t="str">
        <x:v>오열에서_오열2_1시간 측정_1.png; 오열에서_오열2_1시간 측정_2.png</x:v>
      </x:c>
      <x:c r="R55" t="str">
        <x:v>기존 Excel 대응</x:v>
      </x:c>
      <x:c r="S55" t="str"/>
    </x:row>
    <x:row r="56" ht="15" hidden="0" customHeight="1">
      <x:c r="A56" t="str">
        <x:v>OPEN2_1H_R1</x:v>
      </x:c>
      <x:c r="B56" t="str">
        <x:v>일반</x:v>
      </x:c>
      <x:c r="C56" t="str">
        <x:v>오픈열람실2</x:v>
      </x:c>
      <x:c r="D56" t="str">
        <x:v>오픈열람실2 AP</x:v>
      </x:c>
      <x:c r="E56" t="str">
        <x:v>고정</x:v>
      </x:c>
      <x:c r="F56" t="n">
        <x:v>60</x:v>
      </x:c>
      <x:c r="G56" t="n">
        <x:v>1</x:v>
      </x:c>
      <x:c r="H56" t="n">
        <x:v>55</x:v>
      </x:c>
      <x:c r="I56" s="62" t="n">
        <x:v>-56</x:v>
      </x:c>
      <x:c r="J56" s="62" t="n">
        <x:v>1201</x:v>
      </x:c>
      <x:c r="K56" s="62" t="n">
        <x:v>18</x:v>
      </x:c>
      <x:c r="L56" s="62" t="n">
        <x:v>4</x:v>
      </x:c>
      <x:c r="M56" s="62" t="n">
        <x:v>0</x:v>
      </x:c>
      <x:c r="N56" s="62" t="n">
        <x:v>118.8826</x:v>
      </x:c>
      <x:c r="O56" s="62" t="n">
        <x:v>156.4005</x:v>
      </x:c>
      <x:c r="P56" s="62" t="n">
        <x:f>IF(OR(N56="",O56=""),"",2*N56*O56/(N56+O56))</x:f>
        <x:v>135.0849222585767</x:v>
      </x:c>
      <x:c r="Q56" t="str">
        <x:v>오열에서_오열2_1시간 측정_1.png; 오열에서_오열2_1시간 측정_2.png</x:v>
      </x:c>
      <x:c r="R56" t="str">
        <x:v>기존 Excel 대응</x:v>
      </x:c>
      <x:c r="S56" t="str"/>
    </x:row>
    <x:row r="57" ht="15" hidden="0" customHeight="1">
      <x:c r="A57" t="str">
        <x:v>OPEN2_1H_R1</x:v>
      </x:c>
      <x:c r="B57" t="str">
        <x:v>일반</x:v>
      </x:c>
      <x:c r="C57" t="str">
        <x:v>오픈열람실2</x:v>
      </x:c>
      <x:c r="D57" t="str">
        <x:v>오픈열람실2 AP</x:v>
      </x:c>
      <x:c r="E57" t="str">
        <x:v>고정</x:v>
      </x:c>
      <x:c r="F57" t="n">
        <x:v>60</x:v>
      </x:c>
      <x:c r="G57" t="n">
        <x:v>1</x:v>
      </x:c>
      <x:c r="H57" t="n">
        <x:v>56</x:v>
      </x:c>
      <x:c r="I57" s="62" t="n">
        <x:v>-53</x:v>
      </x:c>
      <x:c r="J57" s="62" t="n">
        <x:v>1201</x:v>
      </x:c>
      <x:c r="K57" s="62" t="n">
        <x:v>20</x:v>
      </x:c>
      <x:c r="L57" s="62" t="n">
        <x:v>7</x:v>
      </x:c>
      <x:c r="M57" s="62" t="n">
        <x:v>0</x:v>
      </x:c>
      <x:c r="N57" s="62" t="n">
        <x:v>126.4213</x:v>
      </x:c>
      <x:c r="O57" s="62" t="n">
        <x:v>123.861</x:v>
      </x:c>
      <x:c r="P57" s="62" t="n">
        <x:f>IF(OR(N57="",O57=""),"",2*N57*O57/(N57+O57))</x:f>
        <x:v>125.12805451524137</x:v>
      </x:c>
      <x:c r="Q57" t="str">
        <x:v>오열에서_오열2_1시간 측정_1.png; 오열에서_오열2_1시간 측정_2.png</x:v>
      </x:c>
      <x:c r="R57" t="str">
        <x:v>기존 Excel 대응</x:v>
      </x:c>
      <x:c r="S57" t="str"/>
    </x:row>
    <x:row r="58" ht="15" hidden="0" customHeight="1">
      <x:c r="A58" t="str">
        <x:v>OPEN2_1H_R1</x:v>
      </x:c>
      <x:c r="B58" t="str">
        <x:v>일반</x:v>
      </x:c>
      <x:c r="C58" t="str">
        <x:v>오픈열람실2</x:v>
      </x:c>
      <x:c r="D58" t="str">
        <x:v>오픈열람실2 AP</x:v>
      </x:c>
      <x:c r="E58" t="str">
        <x:v>고정</x:v>
      </x:c>
      <x:c r="F58" t="n">
        <x:v>60</x:v>
      </x:c>
      <x:c r="G58" t="n">
        <x:v>1</x:v>
      </x:c>
      <x:c r="H58" t="n">
        <x:v>57</x:v>
      </x:c>
      <x:c r="I58" s="62" t="n">
        <x:v>-55</x:v>
      </x:c>
      <x:c r="J58" s="62" t="n">
        <x:v>1201</x:v>
      </x:c>
      <x:c r="K58" s="62" t="n">
        <x:v>23</x:v>
      </x:c>
      <x:c r="L58" s="62" t="n">
        <x:v>6</x:v>
      </x:c>
      <x:c r="M58" s="62" t="n">
        <x:v>0</x:v>
      </x:c>
      <x:c r="N58" s="62" t="n">
        <x:v>66.3681</x:v>
      </x:c>
      <x:c r="O58" s="62" t="n">
        <x:v>116.6572</x:v>
      </x:c>
      <x:c r="P58" s="62" t="n">
        <x:f>IF(OR(N58="",O58=""),"",2*N58*O58/(N58+O58))</x:f>
        <x:v>84.60378663845927</x:v>
      </x:c>
      <x:c r="Q58" t="str">
        <x:v>오열에서_오열2_1시간 측정_1.png; 오열에서_오열2_1시간 측정_2.png</x:v>
      </x:c>
      <x:c r="R58" t="str">
        <x:v>기존 Excel 대응</x:v>
      </x:c>
      <x:c r="S58" t="str"/>
    </x:row>
  </x:sheetData>
  <x:pageMargins left="0.7" right="0.7" top="0.75" bottom="0.75" header="0.3" footer="0.3"/>
  <x:tableParts count="1">
    <x:tablePart xmlns:r="http://schemas.openxmlformats.org/officeDocument/2006/relationships" r:id="Rc0c1c509b57e4b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20" hidden="0" customWidth="1"/>
    <x:col min="5" max="5" width="12" hidden="0" customWidth="1"/>
    <x:col min="6" max="6" width="12" hidden="0" customWidth="1"/>
    <x:col min="7" max="7" width="9" hidden="0" customWidth="1"/>
    <x:col min="8" max="8" width="14" hidden="0" customWidth="1"/>
    <x:col min="9" max="9" width="12" hidden="0" customWidth="1"/>
    <x:col min="10" max="10" width="12" hidden="0" customWidth="1"/>
    <x:col min="11" max="11" width="13" hidden="0" customWidth="1"/>
    <x:col min="12" max="12" width="12" hidden="0" customWidth="1"/>
    <x:col min="13" max="13" width="18" hidden="0" customWidth="1"/>
    <x:col min="14" max="14" width="14" hidden="0" customWidth="1"/>
    <x:col min="15" max="15" width="16" hidden="0" customWidth="1"/>
    <x:col min="16" max="16" width="17" hidden="0" customWidth="1"/>
    <x:col min="17" max="17" width="42" hidden="0" customWidth="1"/>
    <x:col min="18" max="18" width="22" hidden="0" customWidth="1"/>
    <x:col min="19" max="19" width="34" hidden="0" customWidth="1"/>
  </x:cols>
  <x:sheetData>
    <x:row r="1" ht="15" hidden="0" customHeight="1">
      <x:c r="A1" s="6" t="str">
        <x:v>측정세트_ID</x:v>
      </x:c>
      <x:c r="B1" s="6" t="str">
        <x:v>상태</x:v>
      </x:c>
      <x:c r="C1" s="6" t="str">
        <x:v>측정 위치</x:v>
      </x:c>
      <x:c r="D1" s="6" t="str">
        <x:v>대상 AP 구역</x:v>
      </x:c>
      <x:c r="E1" s="6" t="str">
        <x:v>측정 형태</x:v>
      </x:c>
      <x:c r="F1" s="6" t="str">
        <x:v>측정시간_min</x:v>
      </x:c>
      <x:c r="G1" s="6" t="str">
        <x:v>반복</x:v>
      </x:c>
      <x:c r="H1" s="6" t="str">
        <x:v>세트내_측정번호</x:v>
      </x:c>
      <x:c r="I1" s="6" t="str">
        <x:v>RSSI_dBm</x:v>
      </x:c>
      <x:c r="J1" s="6" t="str">
        <x:v>Link_Mbps</x:v>
      </x:c>
      <x:c r="K1" s="6" t="str">
        <x:v>UTIL_percent</x:v>
      </x:c>
      <x:c r="L1" s="6" t="str">
        <x:v>RTT_ms</x:v>
      </x:c>
      <x:c r="M1" s="6" t="str">
        <x:v>PacketLoss_percent</x:v>
      </x:c>
      <x:c r="N1" s="6" t="str">
        <x:v>Upload_Mbps</x:v>
      </x:c>
      <x:c r="O1" s="6" t="str">
        <x:v>Download_Mbps</x:v>
      </x:c>
      <x:c r="P1" s="6" t="str">
        <x:v>Effective_Mbps</x:v>
      </x:c>
      <x:c r="Q1" s="6" t="str">
        <x:v>원본 이미지</x:v>
      </x:c>
      <x:c r="R1" s="6" t="str">
        <x:v>데이터 출처</x:v>
      </x:c>
      <x:c r="S1" s="6" t="str">
        <x:v>검토 메모</x:v>
      </x:c>
    </x:row>
    <x:row r="2" ht="15" hidden="0" customHeight="1">
      <x:c r="A2" t="str">
        <x:v>OPEN2_20M_R1</x:v>
      </x:c>
      <x:c r="B2" t="str">
        <x:v>일반</x:v>
      </x:c>
      <x:c r="C2" t="str">
        <x:v>오픈열람실2</x:v>
      </x:c>
      <x:c r="D2" t="str">
        <x:v>오픈열람실2 AP</x:v>
      </x:c>
      <x:c r="E2" t="str">
        <x:v>고정</x:v>
      </x:c>
      <x:c r="F2" t="n">
        <x:v>20</x:v>
      </x:c>
      <x:c r="G2" t="n">
        <x:v>1</x:v>
      </x:c>
      <x:c r="H2" t="n">
        <x:v>1</x:v>
      </x:c>
      <x:c r="I2" s="62" t="n">
        <x:v>-54</x:v>
      </x:c>
      <x:c r="J2" s="62" t="n">
        <x:v>1201</x:v>
      </x:c>
      <x:c r="K2" s="62" t="n">
        <x:v>60</x:v>
      </x:c>
      <x:c r="L2" s="62" t="n">
        <x:v>6</x:v>
      </x:c>
      <x:c r="M2" s="62" t="n">
        <x:v>0</x:v>
      </x:c>
      <x:c r="N2" s="62" t="n">
        <x:v>53.5872</x:v>
      </x:c>
      <x:c r="O2" s="62" t="n">
        <x:v>126.0636</x:v>
      </x:c>
      <x:c r="P2" s="62" t="n">
        <x:f>IF(OR(N2="",O2=""),"",2*N2*O2/(N2+O2))</x:f>
        <x:v>75.20584763240687</x:v>
      </x:c>
      <x:c r="Q2" t="str">
        <x:v>오열에서_오열2_20분 측정_2.png</x:v>
      </x:c>
      <x:c r="R2" t="str">
        <x:v>이미지 판독</x:v>
      </x:c>
      <x:c r="S2" t="str">
        <x:v>이미지 판독값—원본 대조 권장</x:v>
      </x:c>
    </x:row>
    <x:row r="3" ht="15" hidden="0" customHeight="1">
      <x:c r="A3" t="str">
        <x:v>OPEN2_20M_R1</x:v>
      </x:c>
      <x:c r="B3" t="str">
        <x:v>일반</x:v>
      </x:c>
      <x:c r="C3" t="str">
        <x:v>오픈열람실2</x:v>
      </x:c>
      <x:c r="D3" t="str">
        <x:v>오픈열람실2 AP</x:v>
      </x:c>
      <x:c r="E3" t="str">
        <x:v>고정</x:v>
      </x:c>
      <x:c r="F3" t="n">
        <x:v>20</x:v>
      </x:c>
      <x:c r="G3" t="n">
        <x:v>1</x:v>
      </x:c>
      <x:c r="H3" t="n">
        <x:v>2</x:v>
      </x:c>
      <x:c r="I3" s="62" t="n">
        <x:v>-54</x:v>
      </x:c>
      <x:c r="J3" s="62" t="n">
        <x:v>1201</x:v>
      </x:c>
      <x:c r="K3" s="62" t="n">
        <x:v>27</x:v>
      </x:c>
      <x:c r="L3" s="62" t="n">
        <x:v>6</x:v>
      </x:c>
      <x:c r="M3" s="62" t="n">
        <x:v>0</x:v>
      </x:c>
      <x:c r="N3" s="62" t="n">
        <x:v>49.6562</x:v>
      </x:c>
      <x:c r="O3" s="62" t="n">
        <x:v>115.1831</x:v>
      </x:c>
      <x:c r="P3" s="62" t="n">
        <x:f>IF(OR(N3="",O3=""),"",2*N3*O3/(N3+O3))</x:f>
        <x:v>69.39552704021432</x:v>
      </x:c>
      <x:c r="Q3" t="str">
        <x:v>오열에서_오열2_20분 측정_2.png</x:v>
      </x:c>
      <x:c r="R3" t="str">
        <x:v>이미지 판독</x:v>
      </x:c>
      <x:c r="S3" t="str">
        <x:v>이미지 판독값—원본 대조 권장</x:v>
      </x:c>
    </x:row>
    <x:row r="4" ht="15" hidden="0" customHeight="1">
      <x:c r="A4" t="str">
        <x:v>OPEN2_20M_R1</x:v>
      </x:c>
      <x:c r="B4" t="str">
        <x:v>일반</x:v>
      </x:c>
      <x:c r="C4" t="str">
        <x:v>오픈열람실2</x:v>
      </x:c>
      <x:c r="D4" t="str">
        <x:v>오픈열람실2 AP</x:v>
      </x:c>
      <x:c r="E4" t="str">
        <x:v>고정</x:v>
      </x:c>
      <x:c r="F4" t="n">
        <x:v>20</x:v>
      </x:c>
      <x:c r="G4" t="n">
        <x:v>1</x:v>
      </x:c>
      <x:c r="H4" t="n">
        <x:v>3</x:v>
      </x:c>
      <x:c r="I4" s="62" t="n">
        <x:v>-57</x:v>
      </x:c>
      <x:c r="J4" s="62" t="n">
        <x:v>1201</x:v>
      </x:c>
      <x:c r="K4" s="62" t="n">
        <x:v>43</x:v>
      </x:c>
      <x:c r="L4" s="62" t="n">
        <x:v>5</x:v>
      </x:c>
      <x:c r="M4" s="62" t="n">
        <x:v>0</x:v>
      </x:c>
      <x:c r="N4" s="62" t="n">
        <x:v>95.0826</x:v>
      </x:c>
      <x:c r="O4" s="62" t="n">
        <x:v>77.9855</x:v>
      </x:c>
      <x:c r="P4" s="62" t="n">
        <x:f>IF(OR(N4="",O4=""),"",2*N4*O4/(N4+O4))</x:f>
        <x:v>85.68955344514673</x:v>
      </x:c>
      <x:c r="Q4" t="str">
        <x:v>오열에서_오열2_20분 측정_2.png</x:v>
      </x:c>
      <x:c r="R4" t="str">
        <x:v>이미지 판독</x:v>
      </x:c>
      <x:c r="S4" t="str">
        <x:v>이미지 판독값—원본 대조 권장</x:v>
      </x:c>
    </x:row>
    <x:row r="5" ht="15" hidden="0" customHeight="1">
      <x:c r="A5" t="str">
        <x:v>OPEN2_20M_R1</x:v>
      </x:c>
      <x:c r="B5" t="str">
        <x:v>일반</x:v>
      </x:c>
      <x:c r="C5" t="str">
        <x:v>오픈열람실2</x:v>
      </x:c>
      <x:c r="D5" t="str">
        <x:v>오픈열람실2 AP</x:v>
      </x:c>
      <x:c r="E5" t="str">
        <x:v>고정</x:v>
      </x:c>
      <x:c r="F5" t="n">
        <x:v>20</x:v>
      </x:c>
      <x:c r="G5" t="n">
        <x:v>1</x:v>
      </x:c>
      <x:c r="H5" t="n">
        <x:v>4</x:v>
      </x:c>
      <x:c r="I5" s="62" t="n">
        <x:v>-54</x:v>
      </x:c>
      <x:c r="J5" s="62" t="n">
        <x:v>1201</x:v>
      </x:c>
      <x:c r="K5" s="62" t="n">
        <x:v>53</x:v>
      </x:c>
      <x:c r="L5" s="62" t="n">
        <x:v>8</x:v>
      </x:c>
      <x:c r="M5" s="62" t="n">
        <x:v>0</x:v>
      </x:c>
      <x:c r="N5" s="62" t="n">
        <x:v>107.803</x:v>
      </x:c>
      <x:c r="O5" s="62" t="n">
        <x:v>118.606</x:v>
      </x:c>
      <x:c r="P5" s="62" t="n">
        <x:f>IF(OR(N5="",O5=""),"",2*N5*O5/(N5+O5))</x:f>
        <x:v>112.94676994289095</x:v>
      </x:c>
      <x:c r="Q5" t="str">
        <x:v>오열에서_오열2_20분 측정_2.png</x:v>
      </x:c>
      <x:c r="R5" t="str">
        <x:v>이미지 판독</x:v>
      </x:c>
      <x:c r="S5" t="str">
        <x:v>이미지 판독값—원본 대조 권장</x:v>
      </x:c>
    </x:row>
    <x:row r="6" ht="15" hidden="0" customHeight="1">
      <x:c r="A6" t="str">
        <x:v>OPEN2_20M_R1</x:v>
      </x:c>
      <x:c r="B6" t="str">
        <x:v>일반</x:v>
      </x:c>
      <x:c r="C6" t="str">
        <x:v>오픈열람실2</x:v>
      </x:c>
      <x:c r="D6" t="str">
        <x:v>오픈열람실2 AP</x:v>
      </x:c>
      <x:c r="E6" t="str">
        <x:v>고정</x:v>
      </x:c>
      <x:c r="F6" t="n">
        <x:v>20</x:v>
      </x:c>
      <x:c r="G6" t="n">
        <x:v>1</x:v>
      </x:c>
      <x:c r="H6" t="n">
        <x:v>5</x:v>
      </x:c>
      <x:c r="I6" s="62" t="n">
        <x:v>-54</x:v>
      </x:c>
      <x:c r="J6" s="62" t="n">
        <x:v>1201</x:v>
      </x:c>
      <x:c r="K6" s="62" t="n">
        <x:v>34</x:v>
      </x:c>
      <x:c r="L6" s="62" t="n">
        <x:v>5</x:v>
      </x:c>
      <x:c r="M6" s="62" t="n">
        <x:v>0</x:v>
      </x:c>
      <x:c r="N6" s="62" t="n">
        <x:v>38.2072</x:v>
      </x:c>
      <x:c r="O6" s="62" t="n">
        <x:v>101.6291</x:v>
      </x:c>
      <x:c r="P6" s="62" t="n">
        <x:f>IF(OR(N6="",O6=""),"",2*N6*O6/(N6+O6))</x:f>
        <x:v>55.53584226012845</x:v>
      </x:c>
      <x:c r="Q6" t="str">
        <x:v>오열에서_오열2_20분 측정_2.png</x:v>
      </x:c>
      <x:c r="R6" t="str">
        <x:v>이미지 판독</x:v>
      </x:c>
      <x:c r="S6" t="str">
        <x:v>이미지 판독값—원본 대조 권장</x:v>
      </x:c>
    </x:row>
    <x:row r="7" ht="15" hidden="0" customHeight="1">
      <x:c r="A7" t="str">
        <x:v>OPEN2_20M_R1</x:v>
      </x:c>
      <x:c r="B7" t="str">
        <x:v>일반</x:v>
      </x:c>
      <x:c r="C7" t="str">
        <x:v>오픈열람실2</x:v>
      </x:c>
      <x:c r="D7" t="str">
        <x:v>오픈열람실2 AP</x:v>
      </x:c>
      <x:c r="E7" t="str">
        <x:v>고정</x:v>
      </x:c>
      <x:c r="F7" t="n">
        <x:v>20</x:v>
      </x:c>
      <x:c r="G7" t="n">
        <x:v>1</x:v>
      </x:c>
      <x:c r="H7" t="n">
        <x:v>6</x:v>
      </x:c>
      <x:c r="I7" s="62" t="n">
        <x:v>-55</x:v>
      </x:c>
      <x:c r="J7" s="62" t="n">
        <x:v>1201</x:v>
      </x:c>
      <x:c r="K7" s="62" t="n">
        <x:v>52</x:v>
      </x:c>
      <x:c r="L7" s="62" t="n">
        <x:v>9</x:v>
      </x:c>
      <x:c r="M7" s="62" t="n">
        <x:v>0</x:v>
      </x:c>
      <x:c r="N7" s="62" t="n">
        <x:v>89.6761</x:v>
      </x:c>
      <x:c r="O7" s="62" t="n">
        <x:v>84.5298</x:v>
      </x:c>
      <x:c r="P7" s="62" t="n">
        <x:f>IF(OR(N7="",O7=""),"",2*N7*O7/(N7+O7))</x:f>
        <x:v>87.0269353423736</x:v>
      </x:c>
      <x:c r="Q7" t="str">
        <x:v>오열에서_오열2_20분 측정_2.png</x:v>
      </x:c>
      <x:c r="R7" t="str">
        <x:v>이미지 판독</x:v>
      </x:c>
      <x:c r="S7" t="str">
        <x:v>이미지 판독값—원본 대조 권장</x:v>
      </x:c>
    </x:row>
    <x:row r="8" ht="15" hidden="0" customHeight="1">
      <x:c r="A8" t="str">
        <x:v>OPEN2_20M_R1</x:v>
      </x:c>
      <x:c r="B8" t="str">
        <x:v>일반</x:v>
      </x:c>
      <x:c r="C8" t="str">
        <x:v>오픈열람실2</x:v>
      </x:c>
      <x:c r="D8" t="str">
        <x:v>오픈열람실2 AP</x:v>
      </x:c>
      <x:c r="E8" t="str">
        <x:v>고정</x:v>
      </x:c>
      <x:c r="F8" t="n">
        <x:v>20</x:v>
      </x:c>
      <x:c r="G8" t="n">
        <x:v>1</x:v>
      </x:c>
      <x:c r="H8" t="n">
        <x:v>7</x:v>
      </x:c>
      <x:c r="I8" s="62" t="n">
        <x:v>-58</x:v>
      </x:c>
      <x:c r="J8" s="62" t="n">
        <x:v>1201</x:v>
      </x:c>
      <x:c r="K8" s="62" t="n">
        <x:v>50</x:v>
      </x:c>
      <x:c r="L8" s="62" t="n">
        <x:v>10</x:v>
      </x:c>
      <x:c r="M8" s="62" t="n">
        <x:v>0</x:v>
      </x:c>
      <x:c r="N8" s="62" t="n">
        <x:v>127.9131</x:v>
      </x:c>
      <x:c r="O8" s="62" t="n">
        <x:v>106.0367</x:v>
      </x:c>
      <x:c r="P8" s="62" t="n">
        <x:f>IF(OR(N8="",O8=""),"",2*N8*O8/(N8+O8))</x:f>
        <x:v>115.95208041015637</x:v>
      </x:c>
      <x:c r="Q8" t="str">
        <x:v>오열에서_오열2_20분 측정_2.png</x:v>
      </x:c>
      <x:c r="R8" t="str">
        <x:v>이미지 판독</x:v>
      </x:c>
      <x:c r="S8" t="str">
        <x:v>이미지 판독값—원본 대조 권장</x:v>
      </x:c>
    </x:row>
    <x:row r="9" ht="15" hidden="0" customHeight="1">
      <x:c r="A9" t="str">
        <x:v>OPEN2_20M_R1</x:v>
      </x:c>
      <x:c r="B9" t="str">
        <x:v>일반</x:v>
      </x:c>
      <x:c r="C9" t="str">
        <x:v>오픈열람실2</x:v>
      </x:c>
      <x:c r="D9" t="str">
        <x:v>오픈열람실2 AP</x:v>
      </x:c>
      <x:c r="E9" t="str">
        <x:v>고정</x:v>
      </x:c>
      <x:c r="F9" t="n">
        <x:v>20</x:v>
      </x:c>
      <x:c r="G9" t="n">
        <x:v>1</x:v>
      </x:c>
      <x:c r="H9" t="n">
        <x:v>8</x:v>
      </x:c>
      <x:c r="I9" s="62" t="n">
        <x:v>-59</x:v>
      </x:c>
      <x:c r="J9" s="62" t="n">
        <x:v>1201</x:v>
      </x:c>
      <x:c r="K9" s="62" t="n">
        <x:v>29</x:v>
      </x:c>
      <x:c r="L9" s="62" t="n">
        <x:v>5</x:v>
      </x:c>
      <x:c r="M9" s="62" t="n">
        <x:v>0</x:v>
      </x:c>
      <x:c r="N9" s="62" t="n">
        <x:v>76.1272</x:v>
      </x:c>
      <x:c r="O9" s="62" t="n">
        <x:v>78.2655</x:v>
      </x:c>
      <x:c r="P9" s="62" t="n">
        <x:f>IF(OR(N9="",O9=""),"",2*N9*O9/(N9+O9))</x:f>
        <x:v>77.18154254184299</x:v>
      </x:c>
      <x:c r="Q9" t="str">
        <x:v>오열에서_오열2_20분 측정_2.png</x:v>
      </x:c>
      <x:c r="R9" t="str">
        <x:v>이미지 판독</x:v>
      </x:c>
      <x:c r="S9" t="str">
        <x:v>이미지 판독값—원본 대조 권장</x:v>
      </x:c>
    </x:row>
    <x:row r="10" ht="15" hidden="0" customHeight="1">
      <x:c r="A10" t="str">
        <x:v>OPEN2_20M_R1</x:v>
      </x:c>
      <x:c r="B10" t="str">
        <x:v>일반</x:v>
      </x:c>
      <x:c r="C10" t="str">
        <x:v>오픈열람실2</x:v>
      </x:c>
      <x:c r="D10" t="str">
        <x:v>오픈열람실2 AP</x:v>
      </x:c>
      <x:c r="E10" t="str">
        <x:v>고정</x:v>
      </x:c>
      <x:c r="F10" t="n">
        <x:v>20</x:v>
      </x:c>
      <x:c r="G10" t="n">
        <x:v>1</x:v>
      </x:c>
      <x:c r="H10" t="n">
        <x:v>9</x:v>
      </x:c>
      <x:c r="I10" s="62" t="n">
        <x:v>-57</x:v>
      </x:c>
      <x:c r="J10" s="62" t="n">
        <x:v>1201</x:v>
      </x:c>
      <x:c r="K10" s="62" t="n">
        <x:v>30</x:v>
      </x:c>
      <x:c r="L10" s="62" t="n">
        <x:v>6</x:v>
      </x:c>
      <x:c r="M10" s="62" t="n">
        <x:v>0</x:v>
      </x:c>
      <x:c r="N10" s="62" t="n">
        <x:v>96.7229</x:v>
      </x:c>
      <x:c r="O10" s="62" t="n">
        <x:v>86.7241</x:v>
      </x:c>
      <x:c r="P10" s="62" t="n">
        <x:f>IF(OR(N10="",O10=""),"",2*N10*O10/(N10+O10))</x:f>
        <x:v>91.45100712347435</x:v>
      </x:c>
      <x:c r="Q10" t="str">
        <x:v>오열에서_오열2_20분 측정_2.png</x:v>
      </x:c>
      <x:c r="R10" t="str">
        <x:v>이미지 판독</x:v>
      </x:c>
      <x:c r="S10" t="str">
        <x:v>이미지 판독값—원본 대조 권장</x:v>
      </x:c>
    </x:row>
    <x:row r="11" ht="15" hidden="0" customHeight="1">
      <x:c r="A11" t="str">
        <x:v>OPEN2_20M_R1</x:v>
      </x:c>
      <x:c r="B11" t="str">
        <x:v>일반</x:v>
      </x:c>
      <x:c r="C11" t="str">
        <x:v>오픈열람실2</x:v>
      </x:c>
      <x:c r="D11" t="str">
        <x:v>오픈열람실2 AP</x:v>
      </x:c>
      <x:c r="E11" t="str">
        <x:v>고정</x:v>
      </x:c>
      <x:c r="F11" t="n">
        <x:v>20</x:v>
      </x:c>
      <x:c r="G11" t="n">
        <x:v>1</x:v>
      </x:c>
      <x:c r="H11" t="n">
        <x:v>10</x:v>
      </x:c>
      <x:c r="I11" s="62" t="n">
        <x:v>-57</x:v>
      </x:c>
      <x:c r="J11" s="62" t="n">
        <x:v>1201</x:v>
      </x:c>
      <x:c r="K11" s="62" t="n">
        <x:v>31</x:v>
      </x:c>
      <x:c r="L11" s="62" t="n">
        <x:v>3</x:v>
      </x:c>
      <x:c r="M11" s="62" t="n">
        <x:v>0</x:v>
      </x:c>
      <x:c r="N11" s="62" t="n">
        <x:v>88.9189</x:v>
      </x:c>
      <x:c r="O11" s="62" t="n">
        <x:v>111.0962</x:v>
      </x:c>
      <x:c r="P11" s="62" t="n">
        <x:f>IF(OR(N11="",O11=""),"",2*N11*O11/(N11+O11))</x:f>
        <x:v>98.77806123817652</x:v>
      </x:c>
      <x:c r="Q11" t="str">
        <x:v>오열에서_오열2_20분 측정_2.png</x:v>
      </x:c>
      <x:c r="R11" t="str">
        <x:v>이미지 판독</x:v>
      </x:c>
      <x:c r="S11" t="str">
        <x:v>이미지 판독값—원본 대조 권장</x:v>
      </x:c>
    </x:row>
    <x:row r="12" ht="15" hidden="0" customHeight="1">
      <x:c r="A12" t="str">
        <x:v>OPEN2_20M_R1</x:v>
      </x:c>
      <x:c r="B12" t="str">
        <x:v>일반</x:v>
      </x:c>
      <x:c r="C12" t="str">
        <x:v>오픈열람실2</x:v>
      </x:c>
      <x:c r="D12" t="str">
        <x:v>오픈열람실2 AP</x:v>
      </x:c>
      <x:c r="E12" t="str">
        <x:v>고정</x:v>
      </x:c>
      <x:c r="F12" t="n">
        <x:v>20</x:v>
      </x:c>
      <x:c r="G12" t="n">
        <x:v>1</x:v>
      </x:c>
      <x:c r="H12" t="n">
        <x:v>11</x:v>
      </x:c>
      <x:c r="I12" s="62" t="n">
        <x:v>-56</x:v>
      </x:c>
      <x:c r="J12" s="62" t="n">
        <x:v>1201</x:v>
      </x:c>
      <x:c r="K12" s="62" t="n">
        <x:v>21</x:v>
      </x:c>
      <x:c r="L12" s="62" t="n">
        <x:v>6</x:v>
      </x:c>
      <x:c r="M12" s="62" t="n">
        <x:v>0</x:v>
      </x:c>
      <x:c r="N12" s="62" t="n">
        <x:v>64.8951</x:v>
      </x:c>
      <x:c r="O12" s="62" t="n">
        <x:v>118.8069</x:v>
      </x:c>
      <x:c r="P12" s="62" t="n">
        <x:f>IF(OR(N12="",O12=""),"",2*N12*O12/(N12+O12))</x:f>
        <x:v>83.94013844367508</x:v>
      </x:c>
      <x:c r="Q12" t="str">
        <x:v>오열에서_오열2_20분 측정_2.png</x:v>
      </x:c>
      <x:c r="R12" t="str">
        <x:v>이미지 판독</x:v>
      </x:c>
      <x:c r="S12" t="str">
        <x:v>이미지 판독값—원본 대조 권장</x:v>
      </x:c>
    </x:row>
    <x:row r="13" ht="15" hidden="0" customHeight="1">
      <x:c r="A13" t="str">
        <x:v>OPEN2_20M_R1</x:v>
      </x:c>
      <x:c r="B13" t="str">
        <x:v>일반</x:v>
      </x:c>
      <x:c r="C13" t="str">
        <x:v>오픈열람실2</x:v>
      </x:c>
      <x:c r="D13" t="str">
        <x:v>오픈열람실2 AP</x:v>
      </x:c>
      <x:c r="E13" t="str">
        <x:v>고정</x:v>
      </x:c>
      <x:c r="F13" t="n">
        <x:v>20</x:v>
      </x:c>
      <x:c r="G13" t="n">
        <x:v>1</x:v>
      </x:c>
      <x:c r="H13" t="n">
        <x:v>12</x:v>
      </x:c>
      <x:c r="I13" s="62" t="n">
        <x:v>-55</x:v>
      </x:c>
      <x:c r="J13" s="62" t="n">
        <x:v>1201</x:v>
      </x:c>
      <x:c r="K13" s="62" t="n">
        <x:v>20</x:v>
      </x:c>
      <x:c r="L13" s="62" t="n">
        <x:v>9</x:v>
      </x:c>
      <x:c r="M13" s="62" t="n">
        <x:v>0</x:v>
      </x:c>
      <x:c r="N13" s="62" t="n">
        <x:v>125.0849</x:v>
      </x:c>
      <x:c r="O13" s="62" t="n">
        <x:v>124.41</x:v>
      </x:c>
      <x:c r="P13" s="62" t="n">
        <x:f>IF(OR(N13="",O13=""),"",2*N13*O13/(N13+O13))</x:f>
        <x:v>124.7465371757098</x:v>
      </x:c>
      <x:c r="Q13" t="str">
        <x:v>오열에서_오열2_20분 측정_2.png</x:v>
      </x:c>
      <x:c r="R13" t="str">
        <x:v>이미지 판독</x:v>
      </x:c>
      <x:c r="S13" t="str">
        <x:v>이미지 판독값—원본 대조 권장</x:v>
      </x:c>
    </x:row>
    <x:row r="14" ht="15" hidden="0" customHeight="1">
      <x:c r="A14" t="str">
        <x:v>OPEN2_20M_R1</x:v>
      </x:c>
      <x:c r="B14" t="str">
        <x:v>일반</x:v>
      </x:c>
      <x:c r="C14" t="str">
        <x:v>오픈열람실2</x:v>
      </x:c>
      <x:c r="D14" t="str">
        <x:v>오픈열람실2 AP</x:v>
      </x:c>
      <x:c r="E14" t="str">
        <x:v>고정</x:v>
      </x:c>
      <x:c r="F14" t="n">
        <x:v>20</x:v>
      </x:c>
      <x:c r="G14" t="n">
        <x:v>1</x:v>
      </x:c>
      <x:c r="H14" t="n">
        <x:v>13</x:v>
      </x:c>
      <x:c r="I14" s="62" t="n">
        <x:v>-52</x:v>
      </x:c>
      <x:c r="J14" s="62" t="n">
        <x:v>1201</x:v>
      </x:c>
      <x:c r="K14" s="62" t="n">
        <x:v>17</x:v>
      </x:c>
      <x:c r="L14" s="62" t="n">
        <x:v>4</x:v>
      </x:c>
      <x:c r="M14" s="62" t="n">
        <x:v>0</x:v>
      </x:c>
      <x:c r="N14" s="62" t="n">
        <x:v>52.4809</x:v>
      </x:c>
      <x:c r="O14" s="62" t="n">
        <x:v>76.0285</x:v>
      </x:c>
      <x:c r="P14" s="62" t="n">
        <x:f>IF(OR(N14="",O14=""),"",2*N14*O14/(N14+O14))</x:f>
        <x:v>62.09731125738661</x:v>
      </x:c>
      <x:c r="Q14" t="str">
        <x:v>오열에서_오열2_20분 측정_2.png</x:v>
      </x:c>
      <x:c r="R14" t="str">
        <x:v>이미지 판독</x:v>
      </x:c>
      <x:c r="S14" t="str">
        <x:v>이미지 판독값—원본 대조 권장</x:v>
      </x:c>
    </x:row>
    <x:row r="15" ht="15" hidden="0" customHeight="1">
      <x:c r="A15" t="str">
        <x:v>OPEN2_20M_R1</x:v>
      </x:c>
      <x:c r="B15" t="str">
        <x:v>일반</x:v>
      </x:c>
      <x:c r="C15" t="str">
        <x:v>오픈열람실2</x:v>
      </x:c>
      <x:c r="D15" t="str">
        <x:v>오픈열람실2 AP</x:v>
      </x:c>
      <x:c r="E15" t="str">
        <x:v>고정</x:v>
      </x:c>
      <x:c r="F15" t="n">
        <x:v>20</x:v>
      </x:c>
      <x:c r="G15" t="n">
        <x:v>1</x:v>
      </x:c>
      <x:c r="H15" t="n">
        <x:v>14</x:v>
      </x:c>
      <x:c r="I15" s="62" t="n">
        <x:v>-53</x:v>
      </x:c>
      <x:c r="J15" s="62" t="n">
        <x:v>1201</x:v>
      </x:c>
      <x:c r="K15" s="62" t="n">
        <x:v>51</x:v>
      </x:c>
      <x:c r="L15" s="62" t="n">
        <x:v>16</x:v>
      </x:c>
      <x:c r="M15" s="62" t="n">
        <x:v>0</x:v>
      </x:c>
      <x:c r="N15" s="62" t="n">
        <x:v>51.0209</x:v>
      </x:c>
      <x:c r="O15" s="62" t="n">
        <x:v>111.0432</x:v>
      </x:c>
      <x:c r="P15" s="62" t="n">
        <x:f>IF(OR(N15="",O15=""),"",2*N15*O15/(N15+O15))</x:f>
        <x:v>69.91707605669609</x:v>
      </x:c>
      <x:c r="Q15" t="str">
        <x:v>오열에서_오열2_20분 측정_2.png</x:v>
      </x:c>
      <x:c r="R15" t="str">
        <x:v>이미지 판독</x:v>
      </x:c>
      <x:c r="S15" t="str">
        <x:v>이미지 판독값—원본 대조 권장</x:v>
      </x:c>
    </x:row>
  </x:sheetData>
  <x:pageMargins left="0.7" right="0.7" top="0.75" bottom="0.75" header="0.3" footer="0.3"/>
  <x:tableParts count="1">
    <x:tablePart xmlns:r="http://schemas.openxmlformats.org/officeDocument/2006/relationships" r:id="Rdceca85f810c4aa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20" hidden="0" customWidth="1"/>
    <x:col min="5" max="5" width="12" hidden="0" customWidth="1"/>
    <x:col min="6" max="6" width="12" hidden="0" customWidth="1"/>
    <x:col min="7" max="7" width="9" hidden="0" customWidth="1"/>
    <x:col min="8" max="8" width="14" hidden="0" customWidth="1"/>
    <x:col min="9" max="9" width="12" hidden="0" customWidth="1"/>
    <x:col min="10" max="10" width="12" hidden="0" customWidth="1"/>
    <x:col min="11" max="11" width="13" hidden="0" customWidth="1"/>
    <x:col min="12" max="12" width="12" hidden="0" customWidth="1"/>
    <x:col min="13" max="13" width="18" hidden="0" customWidth="1"/>
    <x:col min="14" max="14" width="14" hidden="0" customWidth="1"/>
    <x:col min="15" max="15" width="16" hidden="0" customWidth="1"/>
    <x:col min="16" max="16" width="17" hidden="0" customWidth="1"/>
    <x:col min="17" max="17" width="42" hidden="0" customWidth="1"/>
    <x:col min="18" max="18" width="22" hidden="0" customWidth="1"/>
    <x:col min="19" max="19" width="34" hidden="0" customWidth="1"/>
  </x:cols>
  <x:sheetData>
    <x:row r="1" ht="15" hidden="0" customHeight="1">
      <x:c r="A1" s="6" t="str">
        <x:v>측정세트_ID</x:v>
      </x:c>
      <x:c r="B1" s="6" t="str">
        <x:v>상태</x:v>
      </x:c>
      <x:c r="C1" s="6" t="str">
        <x:v>측정 위치</x:v>
      </x:c>
      <x:c r="D1" s="6" t="str">
        <x:v>대상 AP 구역</x:v>
      </x:c>
      <x:c r="E1" s="6" t="str">
        <x:v>측정 형태</x:v>
      </x:c>
      <x:c r="F1" s="6" t="str">
        <x:v>측정시간_min</x:v>
      </x:c>
      <x:c r="G1" s="6" t="str">
        <x:v>반복</x:v>
      </x:c>
      <x:c r="H1" s="6" t="str">
        <x:v>세트내_측정번호</x:v>
      </x:c>
      <x:c r="I1" s="6" t="str">
        <x:v>RSSI_dBm</x:v>
      </x:c>
      <x:c r="J1" s="6" t="str">
        <x:v>Link_Mbps</x:v>
      </x:c>
      <x:c r="K1" s="6" t="str">
        <x:v>UTIL_percent</x:v>
      </x:c>
      <x:c r="L1" s="6" t="str">
        <x:v>RTT_ms</x:v>
      </x:c>
      <x:c r="M1" s="6" t="str">
        <x:v>PacketLoss_percent</x:v>
      </x:c>
      <x:c r="N1" s="6" t="str">
        <x:v>Upload_Mbps</x:v>
      </x:c>
      <x:c r="O1" s="6" t="str">
        <x:v>Download_Mbps</x:v>
      </x:c>
      <x:c r="P1" s="6" t="str">
        <x:v>Effective_Mbps</x:v>
      </x:c>
      <x:c r="Q1" s="6" t="str">
        <x:v>원본 이미지</x:v>
      </x:c>
      <x:c r="R1" s="6" t="str">
        <x:v>데이터 출처</x:v>
      </x:c>
      <x:c r="S1" s="6" t="str">
        <x:v>검토 메모</x:v>
      </x:c>
    </x:row>
    <x:row r="2" ht="15" hidden="0" customHeight="1">
      <x:c r="A2" t="str">
        <x:v>FREE1_1H_R1</x:v>
      </x:c>
      <x:c r="B2" t="str">
        <x:v>일반</x:v>
      </x:c>
      <x:c r="C2" t="str">
        <x:v>오픈열람실2</x:v>
      </x:c>
      <x:c r="D2" t="str">
        <x:v>자유열람실1 AP</x:v>
      </x:c>
      <x:c r="E2" t="str">
        <x:v>고정</x:v>
      </x:c>
      <x:c r="F2" t="n">
        <x:v>60</x:v>
      </x:c>
      <x:c r="G2" t="n">
        <x:v>1</x:v>
      </x:c>
      <x:c r="H2" t="n">
        <x:v>1</x:v>
      </x:c>
      <x:c r="I2" s="62" t="n">
        <x:v>-75</x:v>
      </x:c>
      <x:c r="J2" s="62" t="n">
        <x:v>424.25</x:v>
      </x:c>
      <x:c r="K2" s="62" t="n">
        <x:v>41</x:v>
      </x:c>
      <x:c r="L2" s="62" t="n">
        <x:v>8</x:v>
      </x:c>
      <x:c r="M2" s="62" t="n">
        <x:v>0</x:v>
      </x:c>
      <x:c r="N2" s="62" t="n">
        <x:v>3.3521</x:v>
      </x:c>
      <x:c r="O2" s="62" t="n">
        <x:v>2.0904</x:v>
      </x:c>
      <x:c r="P2" s="62" t="n">
        <x:f>IF(OR(N2="",O2=""),"",2*N2*O2/(N2+O2))</x:f>
        <x:v>2.575004075333027</x:v>
      </x:c>
      <x:c r="Q2" t="str">
        <x:v>1시간_측정_자유열람실1_오열에서_1.jpg; 1시간_측정_자유열람실1_오열에서_2.jpg</x:v>
      </x:c>
      <x:c r="R2" t="str">
        <x:v>기존 Excel 대응</x:v>
      </x:c>
      <x:c r="S2" t="str"/>
    </x:row>
    <x:row r="3" ht="15" hidden="0" customHeight="1">
      <x:c r="A3" t="str">
        <x:v>FREE1_1H_R1</x:v>
      </x:c>
      <x:c r="B3" t="str">
        <x:v>일반</x:v>
      </x:c>
      <x:c r="C3" t="str">
        <x:v>오픈열람실2</x:v>
      </x:c>
      <x:c r="D3" t="str">
        <x:v>자유열람실1 AP</x:v>
      </x:c>
      <x:c r="E3" t="str">
        <x:v>고정</x:v>
      </x:c>
      <x:c r="F3" t="n">
        <x:v>60</x:v>
      </x:c>
      <x:c r="G3" t="n">
        <x:v>1</x:v>
      </x:c>
      <x:c r="H3" t="n">
        <x:v>2</x:v>
      </x:c>
      <x:c r="I3" s="62" t="n">
        <x:v>-79</x:v>
      </x:c>
      <x:c r="J3" s="62" t="n">
        <x:v>458.75</x:v>
      </x:c>
      <x:c r="K3" s="62" t="n">
        <x:v>35</x:v>
      </x:c>
      <x:c r="L3" s="62" t="n">
        <x:v>10</x:v>
      </x:c>
      <x:c r="M3" s="62" t="n">
        <x:v>0</x:v>
      </x:c>
      <x:c r="N3" s="62" t="n">
        <x:v>1.0387</x:v>
      </x:c>
      <x:c r="O3" s="62" t="n">
        <x:v>0.8373</x:v>
      </x:c>
      <x:c r="P3" s="62" t="n">
        <x:f>IF(OR(N3="",O3=""),"",2*N3*O3/(N3+O3))</x:f>
        <x:v>0.9271892430703625</x:v>
      </x:c>
      <x:c r="Q3" t="str">
        <x:v>1시간_측정_자유열람실1_오열에서_1.jpg; 1시간_측정_자유열람실1_오열에서_2.jpg</x:v>
      </x:c>
      <x:c r="R3" t="str">
        <x:v>기존 Excel 대응</x:v>
      </x:c>
      <x:c r="S3" t="str"/>
    </x:row>
    <x:row r="4" ht="15" hidden="0" customHeight="1">
      <x:c r="A4" t="str">
        <x:v>FREE1_1H_R1</x:v>
      </x:c>
      <x:c r="B4" t="str">
        <x:v>일반</x:v>
      </x:c>
      <x:c r="C4" t="str">
        <x:v>오픈열람실2</x:v>
      </x:c>
      <x:c r="D4" t="str">
        <x:v>자유열람실1 AP</x:v>
      </x:c>
      <x:c r="E4" t="str">
        <x:v>고정</x:v>
      </x:c>
      <x:c r="F4" t="n">
        <x:v>60</x:v>
      </x:c>
      <x:c r="G4" t="n">
        <x:v>1</x:v>
      </x:c>
      <x:c r="H4" t="n">
        <x:v>3</x:v>
      </x:c>
      <x:c r="I4" s="62" t="n">
        <x:v>-81</x:v>
      </x:c>
      <x:c r="J4" s="62" t="n">
        <x:v>458.75</x:v>
      </x:c>
      <x:c r="K4" s="62" t="n">
        <x:v>55</x:v>
      </x:c>
      <x:c r="L4" s="62" t="n">
        <x:v>30</x:v>
      </x:c>
      <x:c r="M4" s="62" t="n">
        <x:v>0</x:v>
      </x:c>
      <x:c r="N4" s="62" t="n">
        <x:v>0.6309</x:v>
      </x:c>
      <x:c r="O4" s="62" t="n">
        <x:v>0.4189</x:v>
      </x:c>
      <x:c r="P4" s="62" t="n">
        <x:f>IF(OR(N4="",O4=""),"",2*N4*O4/(N4+O4))</x:f>
        <x:v>0.5034940179081729</x:v>
      </x:c>
      <x:c r="Q4" t="str">
        <x:v>1시간_측정_자유열람실1_오열에서_1.jpg; 1시간_측정_자유열람실1_오열에서_2.jpg</x:v>
      </x:c>
      <x:c r="R4" t="str">
        <x:v>기존 Excel 대응</x:v>
      </x:c>
      <x:c r="S4" t="str"/>
    </x:row>
    <x:row r="5" ht="15" hidden="0" customHeight="1">
      <x:c r="A5" t="str">
        <x:v>FREE1_1H_R1</x:v>
      </x:c>
      <x:c r="B5" t="str">
        <x:v>일반</x:v>
      </x:c>
      <x:c r="C5" t="str">
        <x:v>오픈열람실2</x:v>
      </x:c>
      <x:c r="D5" t="str">
        <x:v>자유열람실1 AP</x:v>
      </x:c>
      <x:c r="E5" t="str">
        <x:v>고정</x:v>
      </x:c>
      <x:c r="F5" t="n">
        <x:v>60</x:v>
      </x:c>
      <x:c r="G5" t="n">
        <x:v>1</x:v>
      </x:c>
      <x:c r="H5" t="n">
        <x:v>4</x:v>
      </x:c>
      <x:c r="I5" s="62" t="n">
        <x:v>-78</x:v>
      </x:c>
      <x:c r="J5" s="62" t="n">
        <x:v>390</x:v>
      </x:c>
      <x:c r="K5" s="62" t="n">
        <x:v>69</x:v>
      </x:c>
      <x:c r="L5" s="62" t="n">
        <x:v>20</x:v>
      </x:c>
      <x:c r="M5" s="62" t="n">
        <x:v>0</x:v>
      </x:c>
      <x:c r="N5" s="62" t="n">
        <x:v>2.7165</x:v>
      </x:c>
      <x:c r="O5" s="62" t="n">
        <x:v>1.6756</x:v>
      </x:c>
      <x:c r="P5" s="62" t="n">
        <x:f>IF(OR(N5="",O5=""),"",2*N5*O5/(N5+O5))</x:f>
        <x:v>2.0727066323626513</x:v>
      </x:c>
      <x:c r="Q5" t="str">
        <x:v>1시간_측정_자유열람실1_오열에서_1.jpg; 1시간_측정_자유열람실1_오열에서_2.jpg</x:v>
      </x:c>
      <x:c r="R5" t="str">
        <x:v>기존 Excel 대응</x:v>
      </x:c>
      <x:c r="S5" t="str"/>
    </x:row>
    <x:row r="6" ht="15" hidden="0" customHeight="1">
      <x:c r="A6" t="str">
        <x:v>FREE1_1H_R1</x:v>
      </x:c>
      <x:c r="B6" t="str">
        <x:v>일반</x:v>
      </x:c>
      <x:c r="C6" t="str">
        <x:v>오픈열람실2</x:v>
      </x:c>
      <x:c r="D6" t="str">
        <x:v>자유열람실1 AP</x:v>
      </x:c>
      <x:c r="E6" t="str">
        <x:v>고정</x:v>
      </x:c>
      <x:c r="F6" t="n">
        <x:v>60</x:v>
      </x:c>
      <x:c r="G6" t="n">
        <x:v>1</x:v>
      </x:c>
      <x:c r="H6" t="n">
        <x:v>5</x:v>
      </x:c>
      <x:c r="I6" s="62" t="n">
        <x:v>-79</x:v>
      </x:c>
      <x:c r="J6" s="62" t="n">
        <x:v>390</x:v>
      </x:c>
      <x:c r="K6" s="62" t="n">
        <x:v>20</x:v>
      </x:c>
      <x:c r="L6" s="62" t="n">
        <x:v>23</x:v>
      </x:c>
      <x:c r="M6" s="62" t="n">
        <x:v>0</x:v>
      </x:c>
      <x:c r="N6" s="62" t="n">
        <x:v>8.189</x:v>
      </x:c>
      <x:c r="O6" s="62" t="n">
        <x:v>2.3011</x:v>
      </x:c>
      <x:c r="P6" s="62" t="n">
        <x:f>IF(OR(N6="",O6=""),"",2*N6*O6/(N6+O6))</x:f>
        <x:v>3.5926650651566714</x:v>
      </x:c>
      <x:c r="Q6" t="str">
        <x:v>1시간_측정_자유열람실1_오열에서_1.jpg; 1시간_측정_자유열람실1_오열에서_2.jpg</x:v>
      </x:c>
      <x:c r="R6" t="str">
        <x:v>기존 Excel 대응</x:v>
      </x:c>
      <x:c r="S6" t="str"/>
    </x:row>
    <x:row r="7" ht="15" hidden="0" customHeight="1">
      <x:c r="A7" t="str">
        <x:v>FREE1_1H_R1</x:v>
      </x:c>
      <x:c r="B7" t="str">
        <x:v>일반</x:v>
      </x:c>
      <x:c r="C7" t="str">
        <x:v>오픈열람실2</x:v>
      </x:c>
      <x:c r="D7" t="str">
        <x:v>자유열람실1 AP</x:v>
      </x:c>
      <x:c r="E7" t="str">
        <x:v>고정</x:v>
      </x:c>
      <x:c r="F7" t="n">
        <x:v>60</x:v>
      </x:c>
      <x:c r="G7" t="n">
        <x:v>1</x:v>
      </x:c>
      <x:c r="H7" t="n">
        <x:v>6</x:v>
      </x:c>
      <x:c r="I7" s="62" t="n">
        <x:v>-79</x:v>
      </x:c>
      <x:c r="J7" s="62" t="n">
        <x:v>458.75</x:v>
      </x:c>
      <x:c r="K7" s="62" t="n">
        <x:v>17</x:v>
      </x:c>
      <x:c r="L7" s="62" t="n">
        <x:v>4</x:v>
      </x:c>
      <x:c r="M7" s="62" t="n">
        <x:v>0</x:v>
      </x:c>
      <x:c r="N7" s="62" t="n">
        <x:v>3.9729</x:v>
      </x:c>
      <x:c r="O7" s="62" t="n">
        <x:v>1.2582</x:v>
      </x:c>
      <x:c r="P7" s="62" t="n">
        <x:f>IF(OR(N7="",O7=""),"",2*N7*O7/(N7+O7))</x:f>
        <x:v>1.9111478580030972</x:v>
      </x:c>
      <x:c r="Q7" t="str">
        <x:v>1시간_측정_자유열람실1_오열에서_1.jpg; 1시간_측정_자유열람실1_오열에서_2.jpg</x:v>
      </x:c>
      <x:c r="R7" t="str">
        <x:v>기존 Excel 대응</x:v>
      </x:c>
      <x:c r="S7" t="str"/>
    </x:row>
    <x:row r="8" ht="15" hidden="0" customHeight="1">
      <x:c r="A8" t="str">
        <x:v>FREE1_1H_R1</x:v>
      </x:c>
      <x:c r="B8" t="str">
        <x:v>일반</x:v>
      </x:c>
      <x:c r="C8" t="str">
        <x:v>오픈열람실2</x:v>
      </x:c>
      <x:c r="D8" t="str">
        <x:v>자유열람실1 AP</x:v>
      </x:c>
      <x:c r="E8" t="str">
        <x:v>고정</x:v>
      </x:c>
      <x:c r="F8" t="n">
        <x:v>60</x:v>
      </x:c>
      <x:c r="G8" t="n">
        <x:v>1</x:v>
      </x:c>
      <x:c r="H8" t="n">
        <x:v>7</x:v>
      </x:c>
      <x:c r="I8" s="62" t="n">
        <x:v>-76</x:v>
      </x:c>
      <x:c r="J8" s="62" t="n">
        <x:v>424.25</x:v>
      </x:c>
      <x:c r="K8" s="62" t="n">
        <x:v>21</x:v>
      </x:c>
      <x:c r="L8" s="62" t="n">
        <x:v>8</x:v>
      </x:c>
      <x:c r="M8" s="62" t="n">
        <x:v>0</x:v>
      </x:c>
      <x:c r="N8" s="62" t="n">
        <x:v>4.8178</x:v>
      </x:c>
      <x:c r="O8" s="62" t="n">
        <x:v>2.3048</x:v>
      </x:c>
      <x:c r="P8" s="62" t="n">
        <x:f>IF(OR(N8="",O8=""),"",2*N8*O8/(N8+O8))</x:f>
        <x:v>3.1179809170808417</x:v>
      </x:c>
      <x:c r="Q8" t="str">
        <x:v>1시간_측정_자유열람실1_오열에서_1.jpg; 1시간_측정_자유열람실1_오열에서_2.jpg</x:v>
      </x:c>
      <x:c r="R8" t="str">
        <x:v>기존 Excel 대응</x:v>
      </x:c>
      <x:c r="S8" t="str"/>
    </x:row>
    <x:row r="9" ht="15" hidden="0" customHeight="1">
      <x:c r="A9" t="str">
        <x:v>FREE1_1H_R1</x:v>
      </x:c>
      <x:c r="B9" t="str">
        <x:v>일반</x:v>
      </x:c>
      <x:c r="C9" t="str">
        <x:v>오픈열람실2</x:v>
      </x:c>
      <x:c r="D9" t="str">
        <x:v>자유열람실1 AP</x:v>
      </x:c>
      <x:c r="E9" t="str">
        <x:v>고정</x:v>
      </x:c>
      <x:c r="F9" t="n">
        <x:v>60</x:v>
      </x:c>
      <x:c r="G9" t="n">
        <x:v>1</x:v>
      </x:c>
      <x:c r="H9" t="n">
        <x:v>8</x:v>
      </x:c>
      <x:c r="I9" s="62" t="n">
        <x:v>-77</x:v>
      </x:c>
      <x:c r="J9" s="62" t="n">
        <x:v>390</x:v>
      </x:c>
      <x:c r="K9" s="62" t="n">
        <x:v>52</x:v>
      </x:c>
      <x:c r="L9" s="62" t="n">
        <x:v>5</x:v>
      </x:c>
      <x:c r="M9" s="62" t="n">
        <x:v>0</x:v>
      </x:c>
      <x:c r="N9" s="62" t="n">
        <x:v>2.0965</x:v>
      </x:c>
      <x:c r="O9" s="62" t="n">
        <x:v>2.3039</x:v>
      </x:c>
      <x:c r="P9" s="62" t="n">
        <x:f>IF(OR(N9="",O9=""),"",2*N9*O9/(N9+O9))</x:f>
        <x:v>2.195312403417871</x:v>
      </x:c>
      <x:c r="Q9" t="str">
        <x:v>1시간_측정_자유열람실1_오열에서_1.jpg; 1시간_측정_자유열람실1_오열에서_2.jpg</x:v>
      </x:c>
      <x:c r="R9" t="str">
        <x:v>기존 Excel 대응</x:v>
      </x:c>
      <x:c r="S9" t="str"/>
    </x:row>
    <x:row r="10" ht="15" hidden="0" customHeight="1">
      <x:c r="A10" t="str">
        <x:v>FREE1_1H_R1</x:v>
      </x:c>
      <x:c r="B10" t="str">
        <x:v>일반</x:v>
      </x:c>
      <x:c r="C10" t="str">
        <x:v>오픈열람실2</x:v>
      </x:c>
      <x:c r="D10" t="str">
        <x:v>자유열람실1 AP</x:v>
      </x:c>
      <x:c r="E10" t="str">
        <x:v>고정</x:v>
      </x:c>
      <x:c r="F10" t="n">
        <x:v>60</x:v>
      </x:c>
      <x:c r="G10" t="n">
        <x:v>1</x:v>
      </x:c>
      <x:c r="H10" t="n">
        <x:v>9</x:v>
      </x:c>
      <x:c r="I10" s="62" t="n">
        <x:v>-75</x:v>
      </x:c>
      <x:c r="J10" s="62" t="n">
        <x:v>424.25</x:v>
      </x:c>
      <x:c r="K10" s="62" t="n">
        <x:v>16</x:v>
      </x:c>
      <x:c r="L10" s="62" t="n">
        <x:v>7</x:v>
      </x:c>
      <x:c r="M10" s="62" t="n">
        <x:v>0</x:v>
      </x:c>
      <x:c r="N10" s="62" t="n">
        <x:v>10.4719</x:v>
      </x:c>
      <x:c r="O10" s="62" t="n">
        <x:v>2.3051</x:v>
      </x:c>
      <x:c r="P10" s="62" t="n">
        <x:f>IF(OR(N10="",O10=""),"",2*N10*O10/(N10+O10))</x:f>
        <x:v>3.77847330202708</x:v>
      </x:c>
      <x:c r="Q10" t="str">
        <x:v>1시간_측정_자유열람실1_오열에서_1.jpg; 1시간_측정_자유열람실1_오열에서_2.jpg</x:v>
      </x:c>
      <x:c r="R10" t="str">
        <x:v>기존 Excel 대응</x:v>
      </x:c>
      <x:c r="S10" t="str"/>
    </x:row>
    <x:row r="11" ht="15" hidden="0" customHeight="1">
      <x:c r="A11" t="str">
        <x:v>FREE1_1H_R1</x:v>
      </x:c>
      <x:c r="B11" t="str">
        <x:v>일반</x:v>
      </x:c>
      <x:c r="C11" t="str">
        <x:v>오픈열람실2</x:v>
      </x:c>
      <x:c r="D11" t="str">
        <x:v>자유열람실1 AP</x:v>
      </x:c>
      <x:c r="E11" t="str">
        <x:v>고정</x:v>
      </x:c>
      <x:c r="F11" t="n">
        <x:v>60</x:v>
      </x:c>
      <x:c r="G11" t="n">
        <x:v>1</x:v>
      </x:c>
      <x:c r="H11" t="n">
        <x:v>10</x:v>
      </x:c>
      <x:c r="I11" s="62" t="n">
        <x:v>-75</x:v>
      </x:c>
      <x:c r="J11" s="62" t="n">
        <x:v>424.25</x:v>
      </x:c>
      <x:c r="K11" s="62" t="n">
        <x:v>20</x:v>
      </x:c>
      <x:c r="L11" s="62" t="n">
        <x:v>6</x:v>
      </x:c>
      <x:c r="M11" s="62" t="n">
        <x:v>0</x:v>
      </x:c>
      <x:c r="N11" s="62" t="n">
        <x:v>5.647</x:v>
      </x:c>
      <x:c r="O11" s="62" t="n">
        <x:v>1.4655</x:v>
      </x:c>
      <x:c r="P11" s="62" t="n">
        <x:f>IF(OR(N11="",O11=""),"",2*N11*O11/(N11+O11))</x:f>
        <x:v>2.3270800702987695</x:v>
      </x:c>
      <x:c r="Q11" t="str">
        <x:v>1시간_측정_자유열람실1_오열에서_1.jpg; 1시간_측정_자유열람실1_오열에서_2.jpg</x:v>
      </x:c>
      <x:c r="R11" t="str">
        <x:v>기존 Excel 대응</x:v>
      </x:c>
      <x:c r="S11" t="str"/>
    </x:row>
    <x:row r="12" ht="15" hidden="0" customHeight="1">
      <x:c r="A12" t="str">
        <x:v>FREE1_1H_R1</x:v>
      </x:c>
      <x:c r="B12" t="str">
        <x:v>일반</x:v>
      </x:c>
      <x:c r="C12" t="str">
        <x:v>오픈열람실2</x:v>
      </x:c>
      <x:c r="D12" t="str">
        <x:v>자유열람실1 AP</x:v>
      </x:c>
      <x:c r="E12" t="str">
        <x:v>고정</x:v>
      </x:c>
      <x:c r="F12" t="n">
        <x:v>60</x:v>
      </x:c>
      <x:c r="G12" t="n">
        <x:v>1</x:v>
      </x:c>
      <x:c r="H12" t="n">
        <x:v>11</x:v>
      </x:c>
      <x:c r="I12" s="62" t="n">
        <x:v>-78</x:v>
      </x:c>
      <x:c r="J12" s="62" t="n">
        <x:v>458.75</x:v>
      </x:c>
      <x:c r="K12" s="62" t="n">
        <x:v>16</x:v>
      </x:c>
      <x:c r="L12" s="62" t="n">
        <x:v>5</x:v>
      </x:c>
      <x:c r="M12" s="62" t="n">
        <x:v>0</x:v>
      </x:c>
      <x:c r="N12" s="62" t="n">
        <x:v>4.3948</x:v>
      </x:c>
      <x:c r="O12" s="62" t="n">
        <x:v>1.4639</x:v>
      </x:c>
      <x:c r="P12" s="62" t="n">
        <x:f>IF(OR(N12="",O12=""),"",2*N12*O12/(N12+O12))</x:f>
        <x:v>2.1962372949630464</x:v>
      </x:c>
      <x:c r="Q12" t="str">
        <x:v>1시간_측정_자유열람실1_오열에서_1.jpg; 1시간_측정_자유열람실1_오열에서_2.jpg</x:v>
      </x:c>
      <x:c r="R12" t="str">
        <x:v>기존 Excel 대응</x:v>
      </x:c>
      <x:c r="S12" t="str"/>
    </x:row>
    <x:row r="13" ht="15" hidden="0" customHeight="1">
      <x:c r="A13" t="str">
        <x:v>FREE1_1H_R1</x:v>
      </x:c>
      <x:c r="B13" t="str">
        <x:v>일반</x:v>
      </x:c>
      <x:c r="C13" t="str">
        <x:v>오픈열람실2</x:v>
      </x:c>
      <x:c r="D13" t="str">
        <x:v>자유열람실1 AP</x:v>
      </x:c>
      <x:c r="E13" t="str">
        <x:v>고정</x:v>
      </x:c>
      <x:c r="F13" t="n">
        <x:v>60</x:v>
      </x:c>
      <x:c r="G13" t="n">
        <x:v>1</x:v>
      </x:c>
      <x:c r="H13" t="n">
        <x:v>12</x:v>
      </x:c>
      <x:c r="I13" s="62" t="n">
        <x:v>-76</x:v>
      </x:c>
      <x:c r="J13" s="62" t="n">
        <x:v>390</x:v>
      </x:c>
      <x:c r="K13" s="62" t="n">
        <x:v>17</x:v>
      </x:c>
      <x:c r="L13" s="62" t="n">
        <x:v>6</x:v>
      </x:c>
      <x:c r="M13" s="62" t="n">
        <x:v>0</x:v>
      </x:c>
      <x:c r="N13" s="62" t="n">
        <x:v>7.3162</x:v>
      </x:c>
      <x:c r="O13" s="62" t="n">
        <x:v>5.2392</x:v>
      </x:c>
      <x:c r="P13" s="62" t="n">
        <x:f>IF(OR(N13="",O13=""),"",2*N13*O13/(N13+O13))</x:f>
        <x:v>6.1059042388135785</x:v>
      </x:c>
      <x:c r="Q13" t="str">
        <x:v>1시간_측정_자유열람실1_오열에서_1.jpg; 1시간_측정_자유열람실1_오열에서_2.jpg</x:v>
      </x:c>
      <x:c r="R13" t="str">
        <x:v>기존 Excel 대응</x:v>
      </x:c>
      <x:c r="S13" t="str"/>
    </x:row>
    <x:row r="14" ht="15" hidden="0" customHeight="1">
      <x:c r="A14" t="str">
        <x:v>FREE1_1H_R1</x:v>
      </x:c>
      <x:c r="B14" t="str">
        <x:v>일반</x:v>
      </x:c>
      <x:c r="C14" t="str">
        <x:v>오픈열람실2</x:v>
      </x:c>
      <x:c r="D14" t="str">
        <x:v>자유열람실1 AP</x:v>
      </x:c>
      <x:c r="E14" t="str">
        <x:v>고정</x:v>
      </x:c>
      <x:c r="F14" t="n">
        <x:v>60</x:v>
      </x:c>
      <x:c r="G14" t="n">
        <x:v>1</x:v>
      </x:c>
      <x:c r="H14" t="n">
        <x:v>13</x:v>
      </x:c>
      <x:c r="I14" s="62" t="n">
        <x:v>-79</x:v>
      </x:c>
      <x:c r="J14" s="62" t="n">
        <x:v>458.75</x:v>
      </x:c>
      <x:c r="K14" s="62" t="n">
        <x:v>21</x:v>
      </x:c>
      <x:c r="L14" s="62" t="n">
        <x:v>7</x:v>
      </x:c>
      <x:c r="M14" s="62" t="n">
        <x:v>0</x:v>
      </x:c>
      <x:c r="N14" s="62" t="n">
        <x:v>5.8466</x:v>
      </x:c>
      <x:c r="O14" s="62" t="n">
        <x:v>1.8895</x:v>
      </x:c>
      <x:c r="P14" s="62" t="n">
        <x:f>IF(OR(N14="",O14=""),"",2*N14*O14/(N14+O14))</x:f>
        <x:v>2.85599997414718</x:v>
      </x:c>
      <x:c r="Q14" t="str">
        <x:v>1시간_측정_자유열람실1_오열에서_1.jpg; 1시간_측정_자유열람실1_오열에서_2.jpg</x:v>
      </x:c>
      <x:c r="R14" t="str">
        <x:v>기존 Excel 대응</x:v>
      </x:c>
      <x:c r="S14" t="str"/>
    </x:row>
    <x:row r="15" ht="15" hidden="0" customHeight="1">
      <x:c r="A15" t="str">
        <x:v>FREE1_1H_R1</x:v>
      </x:c>
      <x:c r="B15" t="str">
        <x:v>일반</x:v>
      </x:c>
      <x:c r="C15" t="str">
        <x:v>오픈열람실2</x:v>
      </x:c>
      <x:c r="D15" t="str">
        <x:v>자유열람실1 AP</x:v>
      </x:c>
      <x:c r="E15" t="str">
        <x:v>고정</x:v>
      </x:c>
      <x:c r="F15" t="n">
        <x:v>60</x:v>
      </x:c>
      <x:c r="G15" t="n">
        <x:v>1</x:v>
      </x:c>
      <x:c r="H15" t="n">
        <x:v>14</x:v>
      </x:c>
      <x:c r="I15" s="62" t="n">
        <x:v>-80</x:v>
      </x:c>
      <x:c r="J15" s="62" t="n">
        <x:v>458.75</x:v>
      </x:c>
      <x:c r="K15" s="62" t="n">
        <x:v>15</x:v>
      </x:c>
      <x:c r="L15" s="62" t="n">
        <x:v>6</x:v>
      </x:c>
      <x:c r="M15" s="62" t="n">
        <x:v>0</x:v>
      </x:c>
      <x:c r="N15" s="62" t="n">
        <x:v>2.5127</x:v>
      </x:c>
      <x:c r="O15" s="62" t="n">
        <x:v>2.936</x:v>
      </x:c>
      <x:c r="P15" s="62" t="n">
        <x:f>IF(OR(N15="",O15=""),"",2*N15*O15/(N15+O15))</x:f>
        <x:v>2.707907280635748</x:v>
      </x:c>
      <x:c r="Q15" t="str">
        <x:v>1시간_측정_자유열람실1_오열에서_1.jpg; 1시간_측정_자유열람실1_오열에서_2.jpg</x:v>
      </x:c>
      <x:c r="R15" t="str">
        <x:v>기존 Excel 대응</x:v>
      </x:c>
      <x:c r="S15" t="str"/>
    </x:row>
    <x:row r="16" ht="15" hidden="0" customHeight="1">
      <x:c r="A16" t="str">
        <x:v>FREE1_1H_R1</x:v>
      </x:c>
      <x:c r="B16" t="str">
        <x:v>일반</x:v>
      </x:c>
      <x:c r="C16" t="str">
        <x:v>오픈열람실2</x:v>
      </x:c>
      <x:c r="D16" t="str">
        <x:v>자유열람실1 AP</x:v>
      </x:c>
      <x:c r="E16" t="str">
        <x:v>고정</x:v>
      </x:c>
      <x:c r="F16" t="n">
        <x:v>60</x:v>
      </x:c>
      <x:c r="G16" t="n">
        <x:v>1</x:v>
      </x:c>
      <x:c r="H16" t="n">
        <x:v>15</x:v>
      </x:c>
      <x:c r="I16" s="62" t="n">
        <x:v>-80</x:v>
      </x:c>
      <x:c r="J16" s="62" t="n">
        <x:v>458.75</x:v>
      </x:c>
      <x:c r="K16" s="62" t="n">
        <x:v>21</x:v>
      </x:c>
      <x:c r="L16" s="62" t="n">
        <x:v>4</x:v>
      </x:c>
      <x:c r="M16" s="62" t="n">
        <x:v>0</x:v>
      </x:c>
      <x:c r="N16" s="62" t="n">
        <x:v>4.1887</x:v>
      </x:c>
      <x:c r="O16" s="62" t="n">
        <x:v>3.7687</x:v>
      </x:c>
      <x:c r="P16" s="62" t="n">
        <x:f>IF(OR(N16="",O16=""),"",2*N16*O16/(N16+O16))</x:f>
        <x:v>3.967615977580617</x:v>
      </x:c>
      <x:c r="Q16" t="str">
        <x:v>1시간_측정_자유열람실1_오열에서_1.jpg; 1시간_측정_자유열람실1_오열에서_2.jpg</x:v>
      </x:c>
      <x:c r="R16" t="str">
        <x:v>기존 Excel 대응</x:v>
      </x:c>
      <x:c r="S16" t="str"/>
    </x:row>
    <x:row r="17" ht="15" hidden="0" customHeight="1">
      <x:c r="A17" t="str">
        <x:v>FREE1_1H_R1</x:v>
      </x:c>
      <x:c r="B17" t="str">
        <x:v>일반</x:v>
      </x:c>
      <x:c r="C17" t="str">
        <x:v>오픈열람실2</x:v>
      </x:c>
      <x:c r="D17" t="str">
        <x:v>자유열람실1 AP</x:v>
      </x:c>
      <x:c r="E17" t="str">
        <x:v>고정</x:v>
      </x:c>
      <x:c r="F17" t="n">
        <x:v>60</x:v>
      </x:c>
      <x:c r="G17" t="n">
        <x:v>1</x:v>
      </x:c>
      <x:c r="H17" t="n">
        <x:v>16</x:v>
      </x:c>
      <x:c r="I17" s="62" t="n">
        <x:v>-79</x:v>
      </x:c>
      <x:c r="J17" s="62" t="n">
        <x:v>458.75</x:v>
      </x:c>
      <x:c r="K17" s="62" t="n">
        <x:v>31</x:v>
      </x:c>
      <x:c r="L17" s="62" t="n">
        <x:v>7</x:v>
      </x:c>
      <x:c r="M17" s="62" t="n">
        <x:v>0</x:v>
      </x:c>
      <x:c r="N17" s="62" t="n">
        <x:v>2.927</x:v>
      </x:c>
      <x:c r="O17" s="62" t="n">
        <x:v>3.1411</x:v>
      </x:c>
      <x:c r="P17" s="62" t="n">
        <x:f>IF(OR(N17="",O17=""),"",2*N17*O17/(N17+O17))</x:f>
        <x:v>3.030272968474481</x:v>
      </x:c>
      <x:c r="Q17" t="str">
        <x:v>1시간_측정_자유열람실1_오열에서_1.jpg; 1시간_측정_자유열람실1_오열에서_2.jpg</x:v>
      </x:c>
      <x:c r="R17" t="str">
        <x:v>기존 Excel 대응</x:v>
      </x:c>
      <x:c r="S17" t="str"/>
    </x:row>
    <x:row r="18" ht="15" hidden="0" customHeight="1">
      <x:c r="A18" t="str">
        <x:v>FREE1_1H_R1</x:v>
      </x:c>
      <x:c r="B18" t="str">
        <x:v>일반</x:v>
      </x:c>
      <x:c r="C18" t="str">
        <x:v>오픈열람실2</x:v>
      </x:c>
      <x:c r="D18" t="str">
        <x:v>자유열람실1 AP</x:v>
      </x:c>
      <x:c r="E18" t="str">
        <x:v>고정</x:v>
      </x:c>
      <x:c r="F18" t="n">
        <x:v>60</x:v>
      </x:c>
      <x:c r="G18" t="n">
        <x:v>1</x:v>
      </x:c>
      <x:c r="H18" t="n">
        <x:v>17</x:v>
      </x:c>
      <x:c r="I18" s="62" t="n">
        <x:v>-77</x:v>
      </x:c>
      <x:c r="J18" s="62" t="n">
        <x:v>458.75</x:v>
      </x:c>
      <x:c r="K18" s="62" t="n">
        <x:v>19</x:v>
      </x:c>
      <x:c r="L18" s="62" t="n">
        <x:v>8</x:v>
      </x:c>
      <x:c r="M18" s="62" t="n">
        <x:v>0</x:v>
      </x:c>
      <x:c r="N18" s="62" t="n">
        <x:v>5.4417</x:v>
      </x:c>
      <x:c r="O18" s="62" t="n">
        <x:v>3.3498</x:v>
      </x:c>
      <x:c r="P18" s="62" t="n">
        <x:f>IF(OR(N18="",O18=""),"",2*N18*O18/(N18+O18))</x:f>
        <x:v>4.146870650059717</x:v>
      </x:c>
      <x:c r="Q18" t="str">
        <x:v>1시간_측정_자유열람실1_오열에서_1.jpg; 1시간_측정_자유열람실1_오열에서_2.jpg</x:v>
      </x:c>
      <x:c r="R18" t="str">
        <x:v>기존 Excel 대응</x:v>
      </x:c>
      <x:c r="S18" t="str"/>
    </x:row>
    <x:row r="19" ht="15" hidden="0" customHeight="1">
      <x:c r="A19" t="str">
        <x:v>FREE1_1H_R1</x:v>
      </x:c>
      <x:c r="B19" t="str">
        <x:v>일반</x:v>
      </x:c>
      <x:c r="C19" t="str">
        <x:v>오픈열람실2</x:v>
      </x:c>
      <x:c r="D19" t="str">
        <x:v>자유열람실1 AP</x:v>
      </x:c>
      <x:c r="E19" t="str">
        <x:v>고정</x:v>
      </x:c>
      <x:c r="F19" t="n">
        <x:v>60</x:v>
      </x:c>
      <x:c r="G19" t="n">
        <x:v>1</x:v>
      </x:c>
      <x:c r="H19" t="n">
        <x:v>18</x:v>
      </x:c>
      <x:c r="I19" s="62" t="n">
        <x:v>-78</x:v>
      </x:c>
      <x:c r="J19" s="62" t="n">
        <x:v>458.75</x:v>
      </x:c>
      <x:c r="K19" s="62" t="n">
        <x:v>25</x:v>
      </x:c>
      <x:c r="L19" s="62" t="n">
        <x:v>6</x:v>
      </x:c>
      <x:c r="M19" s="62" t="n">
        <x:v>0</x:v>
      </x:c>
      <x:c r="N19" s="62" t="n">
        <x:v>3.1356</x:v>
      </x:c>
      <x:c r="O19" s="62" t="n">
        <x:v>2.5102</x:v>
      </x:c>
      <x:c r="P19" s="62" t="n">
        <x:f>IF(OR(N19="",O19=""),"",2*N19*O19/(N19+O19))</x:f>
        <x:v>2.788261404938184</x:v>
      </x:c>
      <x:c r="Q19" t="str">
        <x:v>1시간_측정_자유열람실1_오열에서_1.jpg; 1시간_측정_자유열람실1_오열에서_2.jpg</x:v>
      </x:c>
      <x:c r="R19" t="str">
        <x:v>기존 Excel 대응</x:v>
      </x:c>
      <x:c r="S19" t="str"/>
    </x:row>
    <x:row r="20" ht="15" hidden="0" customHeight="1">
      <x:c r="A20" t="str">
        <x:v>FREE1_1H_R1</x:v>
      </x:c>
      <x:c r="B20" t="str">
        <x:v>일반</x:v>
      </x:c>
      <x:c r="C20" t="str">
        <x:v>오픈열람실2</x:v>
      </x:c>
      <x:c r="D20" t="str">
        <x:v>자유열람실1 AP</x:v>
      </x:c>
      <x:c r="E20" t="str">
        <x:v>고정</x:v>
      </x:c>
      <x:c r="F20" t="n">
        <x:v>60</x:v>
      </x:c>
      <x:c r="G20" t="n">
        <x:v>1</x:v>
      </x:c>
      <x:c r="H20" t="n">
        <x:v>19</x:v>
      </x:c>
      <x:c r="I20" s="62" t="n">
        <x:v>-78</x:v>
      </x:c>
      <x:c r="J20" s="62" t="n">
        <x:v>458.75</x:v>
      </x:c>
      <x:c r="K20" s="62" t="n">
        <x:v>42</x:v>
      </x:c>
      <x:c r="L20" s="62" t="n">
        <x:v>6</x:v>
      </x:c>
      <x:c r="M20" s="62" t="n">
        <x:v>0</x:v>
      </x:c>
      <x:c r="N20" s="62" t="n">
        <x:v>5.2149</x:v>
      </x:c>
      <x:c r="O20" s="62" t="n">
        <x:v>2.0896</x:v>
      </x:c>
      <x:c r="P20" s="62" t="n">
        <x:f>IF(OR(N20="",O20=""),"",2*N20*O20/(N20+O20))</x:f>
        <x:v>2.9836552919433226</x:v>
      </x:c>
      <x:c r="Q20" t="str">
        <x:v>1시간_측정_자유열람실1_오열에서_1.jpg; 1시간_측정_자유열람실1_오열에서_2.jpg</x:v>
      </x:c>
      <x:c r="R20" t="str">
        <x:v>기존 Excel 대응</x:v>
      </x:c>
      <x:c r="S20" t="str"/>
    </x:row>
    <x:row r="21" ht="15" hidden="0" customHeight="1">
      <x:c r="A21" t="str">
        <x:v>FREE1_1H_R1</x:v>
      </x:c>
      <x:c r="B21" t="str">
        <x:v>일반</x:v>
      </x:c>
      <x:c r="C21" t="str">
        <x:v>오픈열람실2</x:v>
      </x:c>
      <x:c r="D21" t="str">
        <x:v>자유열람실1 AP</x:v>
      </x:c>
      <x:c r="E21" t="str">
        <x:v>고정</x:v>
      </x:c>
      <x:c r="F21" t="n">
        <x:v>60</x:v>
      </x:c>
      <x:c r="G21" t="n">
        <x:v>1</x:v>
      </x:c>
      <x:c r="H21" t="n">
        <x:v>20</x:v>
      </x:c>
      <x:c r="I21" s="62" t="n">
        <x:v>-77</x:v>
      </x:c>
      <x:c r="J21" s="62" t="n">
        <x:v>390</x:v>
      </x:c>
      <x:c r="K21" s="62" t="n">
        <x:v>40</x:v>
      </x:c>
      <x:c r="L21" s="62" t="n">
        <x:v>4</x:v>
      </x:c>
      <x:c r="M21" s="62" t="n">
        <x:v>0</x:v>
      </x:c>
      <x:c r="N21" s="62" t="n">
        <x:v>2.7226</x:v>
      </x:c>
      <x:c r="O21" s="62" t="n">
        <x:v>3.1387</x:v>
      </x:c>
      <x:c r="P21" s="62" t="n">
        <x:f>IF(OR(N21="",O21=""),"",2*N21*O21/(N21+O21))</x:f>
        <x:v>2.9158803064166654</x:v>
      </x:c>
      <x:c r="Q21" t="str">
        <x:v>1시간_측정_자유열람실1_오열에서_1.jpg; 1시간_측정_자유열람실1_오열에서_2.jpg</x:v>
      </x:c>
      <x:c r="R21" t="str">
        <x:v>기존 Excel 대응</x:v>
      </x:c>
      <x:c r="S21" t="str"/>
    </x:row>
    <x:row r="22" ht="15" hidden="0" customHeight="1">
      <x:c r="A22" t="str">
        <x:v>FREE1_1H_R1</x:v>
      </x:c>
      <x:c r="B22" t="str">
        <x:v>일반</x:v>
      </x:c>
      <x:c r="C22" t="str">
        <x:v>오픈열람실2</x:v>
      </x:c>
      <x:c r="D22" t="str">
        <x:v>자유열람실1 AP</x:v>
      </x:c>
      <x:c r="E22" t="str">
        <x:v>고정</x:v>
      </x:c>
      <x:c r="F22" t="n">
        <x:v>60</x:v>
      </x:c>
      <x:c r="G22" t="n">
        <x:v>1</x:v>
      </x:c>
      <x:c r="H22" t="n">
        <x:v>21</x:v>
      </x:c>
      <x:c r="I22" s="62" t="n">
        <x:v>-76</x:v>
      </x:c>
      <x:c r="J22" s="62" t="n">
        <x:v>390</x:v>
      </x:c>
      <x:c r="K22" s="62" t="n">
        <x:v>27</x:v>
      </x:c>
      <x:c r="L22" s="62" t="n">
        <x:v>10</x:v>
      </x:c>
      <x:c r="M22" s="62" t="n">
        <x:v>0</x:v>
      </x:c>
      <x:c r="N22" s="62" t="n">
        <x:v>7.1127</x:v>
      </x:c>
      <x:c r="O22" s="62" t="n">
        <x:v>2.9299</x:v>
      </x:c>
      <x:c r="P22" s="62" t="n">
        <x:f>IF(OR(N22="",O22=""),"",2*N22*O22/(N22+O22))</x:f>
        <x:v>4.150220008762671</x:v>
      </x:c>
      <x:c r="Q22" t="str">
        <x:v>1시간_측정_자유열람실1_오열에서_1.jpg; 1시간_측정_자유열람실1_오열에서_2.jpg</x:v>
      </x:c>
      <x:c r="R22" t="str">
        <x:v>기존 Excel 대응</x:v>
      </x:c>
      <x:c r="S22" t="str"/>
    </x:row>
    <x:row r="23" ht="15" hidden="0" customHeight="1">
      <x:c r="A23" t="str">
        <x:v>FREE1_1H_R1</x:v>
      </x:c>
      <x:c r="B23" t="str">
        <x:v>일반</x:v>
      </x:c>
      <x:c r="C23" t="str">
        <x:v>오픈열람실2</x:v>
      </x:c>
      <x:c r="D23" t="str">
        <x:v>자유열람실1 AP</x:v>
      </x:c>
      <x:c r="E23" t="str">
        <x:v>고정</x:v>
      </x:c>
      <x:c r="F23" t="n">
        <x:v>60</x:v>
      </x:c>
      <x:c r="G23" t="n">
        <x:v>1</x:v>
      </x:c>
      <x:c r="H23" t="n">
        <x:v>22</x:v>
      </x:c>
      <x:c r="I23" s="62" t="n">
        <x:v>-75</x:v>
      </x:c>
      <x:c r="J23" s="62" t="n">
        <x:v>390</x:v>
      </x:c>
      <x:c r="K23" s="62" t="n">
        <x:v>31</x:v>
      </x:c>
      <x:c r="L23" s="62" t="n">
        <x:v>10</x:v>
      </x:c>
      <x:c r="M23" s="62" t="n">
        <x:v>0</x:v>
      </x:c>
      <x:c r="N23" s="62" t="n">
        <x:v>7.3285</x:v>
      </x:c>
      <x:c r="O23" s="62" t="n">
        <x:v>2.5136</x:v>
      </x:c>
      <x:c r="P23" s="62" t="n">
        <x:f>IF(OR(N23="",O23=""),"",2*N23*O23/(N23+O23))</x:f>
        <x:v>3.7432900702085936</x:v>
      </x:c>
      <x:c r="Q23" t="str">
        <x:v>1시간_측정_자유열람실1_오열에서_1.jpg; 1시간_측정_자유열람실1_오열에서_2.jpg</x:v>
      </x:c>
      <x:c r="R23" t="str">
        <x:v>기존 Excel 대응</x:v>
      </x:c>
      <x:c r="S23" t="str"/>
    </x:row>
    <x:row r="24" ht="15" hidden="0" customHeight="1">
      <x:c r="A24" t="str">
        <x:v>FREE1_1H_R1</x:v>
      </x:c>
      <x:c r="B24" t="str">
        <x:v>일반</x:v>
      </x:c>
      <x:c r="C24" t="str">
        <x:v>오픈열람실2</x:v>
      </x:c>
      <x:c r="D24" t="str">
        <x:v>자유열람실1 AP</x:v>
      </x:c>
      <x:c r="E24" t="str">
        <x:v>고정</x:v>
      </x:c>
      <x:c r="F24" t="n">
        <x:v>60</x:v>
      </x:c>
      <x:c r="G24" t="n">
        <x:v>1</x:v>
      </x:c>
      <x:c r="H24" t="n">
        <x:v>23</x:v>
      </x:c>
      <x:c r="I24" s="62" t="n">
        <x:v>-77</x:v>
      </x:c>
      <x:c r="J24" s="62" t="n">
        <x:v>390</x:v>
      </x:c>
      <x:c r="K24" s="62" t="n">
        <x:v>26</x:v>
      </x:c>
      <x:c r="L24" s="62" t="n">
        <x:v>7</x:v>
      </x:c>
      <x:c r="M24" s="62" t="n">
        <x:v>0</x:v>
      </x:c>
      <x:c r="N24" s="62" t="n">
        <x:v>7.7104</x:v>
      </x:c>
      <x:c r="O24" s="62" t="n">
        <x:v>2.5156</x:v>
      </x:c>
      <x:c r="P24" s="62" t="n">
        <x:f>IF(OR(N24="",O24=""),"",2*N24*O24/(N24+O24))</x:f>
        <x:v>3.7935228319968712</x:v>
      </x:c>
      <x:c r="Q24" t="str">
        <x:v>1시간_측정_자유열람실1_오열에서_1.jpg; 1시간_측정_자유열람실1_오열에서_2.jpg</x:v>
      </x:c>
      <x:c r="R24" t="str">
        <x:v>기존 Excel 대응</x:v>
      </x:c>
      <x:c r="S24" t="str"/>
    </x:row>
    <x:row r="25" ht="15" hidden="0" customHeight="1">
      <x:c r="A25" t="str">
        <x:v>FREE1_1H_R1</x:v>
      </x:c>
      <x:c r="B25" t="str">
        <x:v>일반</x:v>
      </x:c>
      <x:c r="C25" t="str">
        <x:v>오픈열람실2</x:v>
      </x:c>
      <x:c r="D25" t="str">
        <x:v>자유열람실1 AP</x:v>
      </x:c>
      <x:c r="E25" t="str">
        <x:v>고정</x:v>
      </x:c>
      <x:c r="F25" t="n">
        <x:v>60</x:v>
      </x:c>
      <x:c r="G25" t="n">
        <x:v>1</x:v>
      </x:c>
      <x:c r="H25" t="n">
        <x:v>24</x:v>
      </x:c>
      <x:c r="I25" s="62" t="n">
        <x:v>-78</x:v>
      </x:c>
      <x:c r="J25" s="62" t="n">
        <x:v>458.75</x:v>
      </x:c>
      <x:c r="K25" s="62" t="n">
        <x:v>43</x:v>
      </x:c>
      <x:c r="L25" s="62" t="n">
        <x:v>4</x:v>
      </x:c>
      <x:c r="M25" s="62" t="n">
        <x:v>0</x:v>
      </x:c>
      <x:c r="N25" s="62" t="n">
        <x:v>5.0233</x:v>
      </x:c>
      <x:c r="O25" s="62" t="n">
        <x:v>2.3026</x:v>
      </x:c>
      <x:c r="P25" s="62" t="n">
        <x:f>IF(OR(N25="",O25=""),"",2*N25*O25/(N25+O25))</x:f>
        <x:v>3.1577418692583845</x:v>
      </x:c>
      <x:c r="Q25" t="str">
        <x:v>1시간_측정_자유열람실1_오열에서_1.jpg; 1시간_측정_자유열람실1_오열에서_2.jpg</x:v>
      </x:c>
      <x:c r="R25" t="str">
        <x:v>기존 Excel 대응</x:v>
      </x:c>
      <x:c r="S25" t="str"/>
    </x:row>
    <x:row r="26" ht="15" hidden="0" customHeight="1">
      <x:c r="A26" t="str">
        <x:v>FREE1_1H_R1</x:v>
      </x:c>
      <x:c r="B26" t="str">
        <x:v>일반</x:v>
      </x:c>
      <x:c r="C26" t="str">
        <x:v>오픈열람실2</x:v>
      </x:c>
      <x:c r="D26" t="str">
        <x:v>자유열람실1 AP</x:v>
      </x:c>
      <x:c r="E26" t="str">
        <x:v>고정</x:v>
      </x:c>
      <x:c r="F26" t="n">
        <x:v>60</x:v>
      </x:c>
      <x:c r="G26" t="n">
        <x:v>1</x:v>
      </x:c>
      <x:c r="H26" t="n">
        <x:v>25</x:v>
      </x:c>
      <x:c r="I26" s="62" t="n">
        <x:v>-77</x:v>
      </x:c>
      <x:c r="J26" s="62" t="n">
        <x:v>390</x:v>
      </x:c>
      <x:c r="K26" s="62" t="n">
        <x:v>32</x:v>
      </x:c>
      <x:c r="L26" s="62" t="n">
        <x:v>8</x:v>
      </x:c>
      <x:c r="M26" s="62" t="n">
        <x:v>0</x:v>
      </x:c>
      <x:c r="N26" s="62" t="n">
        <x:v>1.8831</x:v>
      </x:c>
      <x:c r="O26" s="62" t="n">
        <x:v>1.4658</x:v>
      </x:c>
      <x:c r="P26" s="62" t="n">
        <x:f>IF(OR(N26="",O26=""),"",2*N26*O26/(N26+O26))</x:f>
        <x:v>1.648450524052674</x:v>
      </x:c>
      <x:c r="Q26" t="str">
        <x:v>1시간_측정_자유열람실1_오열에서_1.jpg; 1시간_측정_자유열람실1_오열에서_2.jpg</x:v>
      </x:c>
      <x:c r="R26" t="str">
        <x:v>기존 Excel 대응</x:v>
      </x:c>
      <x:c r="S26" t="str"/>
    </x:row>
    <x:row r="27" ht="15" hidden="0" customHeight="1">
      <x:c r="A27" t="str">
        <x:v>FREE1_1H_R1</x:v>
      </x:c>
      <x:c r="B27" t="str">
        <x:v>일반</x:v>
      </x:c>
      <x:c r="C27" t="str">
        <x:v>오픈열람실2</x:v>
      </x:c>
      <x:c r="D27" t="str">
        <x:v>자유열람실1 AP</x:v>
      </x:c>
      <x:c r="E27" t="str">
        <x:v>고정</x:v>
      </x:c>
      <x:c r="F27" t="n">
        <x:v>60</x:v>
      </x:c>
      <x:c r="G27" t="n">
        <x:v>1</x:v>
      </x:c>
      <x:c r="H27" t="n">
        <x:v>26</x:v>
      </x:c>
      <x:c r="I27" s="62" t="n">
        <x:v>-78</x:v>
      </x:c>
      <x:c r="J27" s="62" t="n">
        <x:v>458.75</x:v>
      </x:c>
      <x:c r="K27" s="62" t="n">
        <x:v>29</x:v>
      </x:c>
      <x:c r="L27" s="62" t="n">
        <x:v>5</x:v>
      </x:c>
      <x:c r="M27" s="62" t="n">
        <x:v>0</x:v>
      </x:c>
      <x:c r="N27" s="62" t="n">
        <x:v>8.366</x:v>
      </x:c>
      <x:c r="O27" s="62" t="n">
        <x:v>1.6803</x:v>
      </x:c>
      <x:c r="P27" s="62" t="n">
        <x:f>IF(OR(N27="",O27=""),"",2*N27*O27/(N27+O27))</x:f>
        <x:v>2.7985208086559235</x:v>
      </x:c>
      <x:c r="Q27" t="str">
        <x:v>1시간_측정_자유열람실1_오열에서_1.jpg; 1시간_측정_자유열람실1_오열에서_2.jpg</x:v>
      </x:c>
      <x:c r="R27" t="str">
        <x:v>기존 Excel 대응</x:v>
      </x:c>
      <x:c r="S27" t="str"/>
    </x:row>
    <x:row r="28" ht="15" hidden="0" customHeight="1">
      <x:c r="A28" t="str">
        <x:v>FREE1_1H_R1</x:v>
      </x:c>
      <x:c r="B28" t="str">
        <x:v>일반</x:v>
      </x:c>
      <x:c r="C28" t="str">
        <x:v>오픈열람실2</x:v>
      </x:c>
      <x:c r="D28" t="str">
        <x:v>자유열람실1 AP</x:v>
      </x:c>
      <x:c r="E28" t="str">
        <x:v>고정</x:v>
      </x:c>
      <x:c r="F28" t="n">
        <x:v>60</x:v>
      </x:c>
      <x:c r="G28" t="n">
        <x:v>1</x:v>
      </x:c>
      <x:c r="H28" t="n">
        <x:v>27</x:v>
      </x:c>
      <x:c r="I28" s="62" t="n">
        <x:v>-78</x:v>
      </x:c>
      <x:c r="J28" s="62" t="n">
        <x:v>390</x:v>
      </x:c>
      <x:c r="K28" s="62" t="n">
        <x:v>31</x:v>
      </x:c>
      <x:c r="L28" s="62" t="n">
        <x:v>6</x:v>
      </x:c>
      <x:c r="M28" s="62" t="n">
        <x:v>0</x:v>
      </x:c>
      <x:c r="N28" s="62" t="n">
        <x:v>2.506</x:v>
      </x:c>
      <x:c r="O28" s="62" t="n">
        <x:v>0.6293</x:v>
      </x:c>
      <x:c r="P28" s="62" t="n">
        <x:f>IF(OR(N28="",O28=""),"",2*N28*O28/(N28+O28))</x:f>
        <x:v>1.0059807992855547</x:v>
      </x:c>
      <x:c r="Q28" t="str">
        <x:v>1시간_측정_자유열람실1_오열에서_1.jpg; 1시간_측정_자유열람실1_오열에서_2.jpg</x:v>
      </x:c>
      <x:c r="R28" t="str">
        <x:v>기존 Excel 대응</x:v>
      </x:c>
      <x:c r="S28" t="str"/>
    </x:row>
    <x:row r="29" ht="15" hidden="0" customHeight="1">
      <x:c r="A29" t="str">
        <x:v>FREE1_1H_R1</x:v>
      </x:c>
      <x:c r="B29" t="str">
        <x:v>일반</x:v>
      </x:c>
      <x:c r="C29" t="str">
        <x:v>오픈열람실2</x:v>
      </x:c>
      <x:c r="D29" t="str">
        <x:v>자유열람실1 AP</x:v>
      </x:c>
      <x:c r="E29" t="str">
        <x:v>고정</x:v>
      </x:c>
      <x:c r="F29" t="n">
        <x:v>60</x:v>
      </x:c>
      <x:c r="G29" t="n">
        <x:v>1</x:v>
      </x:c>
      <x:c r="H29" t="n">
        <x:v>28</x:v>
      </x:c>
      <x:c r="I29" s="62" t="n">
        <x:v>-71</x:v>
      </x:c>
      <x:c r="J29" s="62" t="n">
        <x:v>424.25</x:v>
      </x:c>
      <x:c r="K29" s="62" t="n">
        <x:v>33</x:v>
      </x:c>
      <x:c r="L29" s="62" t="n">
        <x:v>20</x:v>
      </x:c>
      <x:c r="M29" s="62" t="n">
        <x:v>0</x:v>
      </x:c>
      <x:c r="N29" s="62" t="n">
        <x:v>7.1281</x:v>
      </x:c>
      <x:c r="O29" s="62" t="n">
        <x:v>1.6751</x:v>
      </x:c>
      <x:c r="P29" s="62" t="n">
        <x:f>IF(OR(N29="",O29=""),"",2*N29*O29/(N29+O29))</x:f>
        <x:v>2.71271362913486</x:v>
      </x:c>
      <x:c r="Q29" t="str">
        <x:v>1시간_측정_자유열람실1_오열에서_1.jpg; 1시간_측정_자유열람실1_오열에서_2.jpg</x:v>
      </x:c>
      <x:c r="R29" t="str">
        <x:v>기존 Excel 대응</x:v>
      </x:c>
      <x:c r="S29" t="str"/>
    </x:row>
    <x:row r="30" ht="15" hidden="0" customHeight="1">
      <x:c r="A30" t="str">
        <x:v>FREE1_1H_R1</x:v>
      </x:c>
      <x:c r="B30" t="str">
        <x:v>일반</x:v>
      </x:c>
      <x:c r="C30" t="str">
        <x:v>오픈열람실2</x:v>
      </x:c>
      <x:c r="D30" t="str">
        <x:v>자유열람실1 AP</x:v>
      </x:c>
      <x:c r="E30" t="str">
        <x:v>고정</x:v>
      </x:c>
      <x:c r="F30" t="n">
        <x:v>60</x:v>
      </x:c>
      <x:c r="G30" t="n">
        <x:v>1</x:v>
      </x:c>
      <x:c r="H30" t="n">
        <x:v>29</x:v>
      </x:c>
      <x:c r="I30" s="62" t="n">
        <x:v>-73</x:v>
      </x:c>
      <x:c r="J30" s="62" t="n">
        <x:v>390</x:v>
      </x:c>
      <x:c r="K30" s="62" t="n">
        <x:v>34</x:v>
      </x:c>
      <x:c r="L30" s="62" t="n">
        <x:v>6</x:v>
      </x:c>
      <x:c r="M30" s="62" t="n">
        <x:v>0</x:v>
      </x:c>
      <x:c r="N30" s="62" t="n">
        <x:v>3.1323</x:v>
      </x:c>
      <x:c r="O30" s="62" t="n">
        <x:v>1.462</x:v>
      </x:c>
      <x:c r="P30" s="62" t="n">
        <x:f>IF(OR(N30="",O30=""),"",2*N30*O30/(N30+O30))</x:f>
        <x:v>1.9935235400387439</x:v>
      </x:c>
      <x:c r="Q30" t="str">
        <x:v>1시간_측정_자유열람실1_오열에서_1.jpg; 1시간_측정_자유열람실1_오열에서_2.jpg</x:v>
      </x:c>
      <x:c r="R30" t="str">
        <x:v>기존 Excel 대응</x:v>
      </x:c>
      <x:c r="S30" t="str"/>
    </x:row>
    <x:row r="31" ht="15" hidden="0" customHeight="1">
      <x:c r="A31" t="str">
        <x:v>FREE1_1H_R1</x:v>
      </x:c>
      <x:c r="B31" t="str">
        <x:v>일반</x:v>
      </x:c>
      <x:c r="C31" t="str">
        <x:v>오픈열람실2</x:v>
      </x:c>
      <x:c r="D31" t="str">
        <x:v>자유열람실1 AP</x:v>
      </x:c>
      <x:c r="E31" t="str">
        <x:v>고정</x:v>
      </x:c>
      <x:c r="F31" t="n">
        <x:v>60</x:v>
      </x:c>
      <x:c r="G31" t="n">
        <x:v>1</x:v>
      </x:c>
      <x:c r="H31" t="n">
        <x:v>30</x:v>
      </x:c>
      <x:c r="I31" s="62" t="n">
        <x:v>-76</x:v>
      </x:c>
      <x:c r="J31" s="62" t="n">
        <x:v>390</x:v>
      </x:c>
      <x:c r="K31" s="62" t="n">
        <x:v>33</x:v>
      </x:c>
      <x:c r="L31" s="62" t="n">
        <x:v>5</x:v>
      </x:c>
      <x:c r="M31" s="62" t="n">
        <x:v>0</x:v>
      </x:c>
      <x:c r="N31" s="62" t="n">
        <x:v>2.5093</x:v>
      </x:c>
      <x:c r="O31" s="62" t="n">
        <x:v>1.4701</x:v>
      </x:c>
      <x:c r="P31" s="62" t="n">
        <x:f>IF(OR(N31="",O31=""),"",2*N31*O31/(N31+O31))</x:f>
        <x:v>1.8540091119264213</x:v>
      </x:c>
      <x:c r="Q31" t="str">
        <x:v>1시간_측정_자유열람실1_오열에서_1.jpg; 1시간_측정_자유열람실1_오열에서_2.jpg</x:v>
      </x:c>
      <x:c r="R31" t="str">
        <x:v>기존 Excel 대응</x:v>
      </x:c>
      <x:c r="S31" t="str"/>
    </x:row>
    <x:row r="32" ht="15" hidden="0" customHeight="1">
      <x:c r="A32" t="str">
        <x:v>FREE1_1H_R1</x:v>
      </x:c>
      <x:c r="B32" t="str">
        <x:v>일반</x:v>
      </x:c>
      <x:c r="C32" t="str">
        <x:v>오픈열람실2</x:v>
      </x:c>
      <x:c r="D32" t="str">
        <x:v>자유열람실1 AP</x:v>
      </x:c>
      <x:c r="E32" t="str">
        <x:v>고정</x:v>
      </x:c>
      <x:c r="F32" t="n">
        <x:v>60</x:v>
      </x:c>
      <x:c r="G32" t="n">
        <x:v>1</x:v>
      </x:c>
      <x:c r="H32" t="n">
        <x:v>31</x:v>
      </x:c>
      <x:c r="I32" s="62" t="n">
        <x:v>-71</x:v>
      </x:c>
      <x:c r="J32" s="62" t="n">
        <x:v>390</x:v>
      </x:c>
      <x:c r="K32" s="62" t="n">
        <x:v>35</x:v>
      </x:c>
      <x:c r="L32" s="62" t="n">
        <x:v>8</x:v>
      </x:c>
      <x:c r="M32" s="62" t="n">
        <x:v>0</x:v>
      </x:c>
      <x:c r="N32" s="62" t="n">
        <x:v>4.4078</x:v>
      </x:c>
      <x:c r="O32" s="62" t="n">
        <x:v>1.2601</x:v>
      </x:c>
      <x:c r="P32" s="62" t="n">
        <x:f>IF(OR(N32="",O32=""),"",2*N32*O32/(N32+O32))</x:f>
        <x:v>1.959903590395032</x:v>
      </x:c>
      <x:c r="Q32" t="str">
        <x:v>1시간_측정_자유열람실1_오열에서_1.jpg; 1시간_측정_자유열람실1_오열에서_2.jpg</x:v>
      </x:c>
      <x:c r="R32" t="str">
        <x:v>기존 Excel 대응</x:v>
      </x:c>
      <x:c r="S32" t="str"/>
    </x:row>
    <x:row r="33" ht="15" hidden="0" customHeight="1">
      <x:c r="A33" t="str">
        <x:v>FREE1_1H_R1</x:v>
      </x:c>
      <x:c r="B33" t="str">
        <x:v>일반</x:v>
      </x:c>
      <x:c r="C33" t="str">
        <x:v>오픈열람실2</x:v>
      </x:c>
      <x:c r="D33" t="str">
        <x:v>자유열람실1 AP</x:v>
      </x:c>
      <x:c r="E33" t="str">
        <x:v>고정</x:v>
      </x:c>
      <x:c r="F33" t="n">
        <x:v>60</x:v>
      </x:c>
      <x:c r="G33" t="n">
        <x:v>1</x:v>
      </x:c>
      <x:c r="H33" t="n">
        <x:v>32</x:v>
      </x:c>
      <x:c r="I33" s="62" t="n">
        <x:v>-77</x:v>
      </x:c>
      <x:c r="J33" s="62" t="n">
        <x:v>390</x:v>
      </x:c>
      <x:c r="K33" s="62" t="n">
        <x:v>47</x:v>
      </x:c>
      <x:c r="L33" s="62" t="n">
        <x:v>5</x:v>
      </x:c>
      <x:c r="M33" s="62" t="n">
        <x:v>0</x:v>
      </x:c>
      <x:c r="N33" s="62" t="n">
        <x:v>5.0229</x:v>
      </x:c>
      <x:c r="O33" s="62" t="n">
        <x:v>1.4681</x:v>
      </x:c>
      <x:c r="P33" s="62" t="n">
        <x:f>IF(OR(N33="",O33=""),"",2*N33*O33/(N33+O33))</x:f>
        <x:v>2.2721058357726083</x:v>
      </x:c>
      <x:c r="Q33" t="str">
        <x:v>1시간_측정_자유열람실1_오열에서_1.jpg; 1시간_측정_자유열람실1_오열에서_2.jpg</x:v>
      </x:c>
      <x:c r="R33" t="str">
        <x:v>기존 Excel 대응</x:v>
      </x:c>
      <x:c r="S33" t="str"/>
    </x:row>
    <x:row r="34" ht="15" hidden="0" customHeight="1">
      <x:c r="A34" t="str">
        <x:v>FREE1_1H_R1</x:v>
      </x:c>
      <x:c r="B34" t="str">
        <x:v>일반</x:v>
      </x:c>
      <x:c r="C34" t="str">
        <x:v>오픈열람실2</x:v>
      </x:c>
      <x:c r="D34" t="str">
        <x:v>자유열람실1 AP</x:v>
      </x:c>
      <x:c r="E34" t="str">
        <x:v>고정</x:v>
      </x:c>
      <x:c r="F34" t="n">
        <x:v>60</x:v>
      </x:c>
      <x:c r="G34" t="n">
        <x:v>1</x:v>
      </x:c>
      <x:c r="H34" t="n">
        <x:v>33</x:v>
      </x:c>
      <x:c r="I34" s="62" t="n">
        <x:v>-74</x:v>
      </x:c>
      <x:c r="J34" s="62" t="n">
        <x:v>390</x:v>
      </x:c>
      <x:c r="K34" s="62" t="n">
        <x:v>34</x:v>
      </x:c>
      <x:c r="L34" s="62" t="n">
        <x:v>5</x:v>
      </x:c>
      <x:c r="M34" s="62" t="n">
        <x:v>0</x:v>
      </x:c>
      <x:c r="N34" s="62" t="n">
        <x:v>5.023</x:v>
      </x:c>
      <x:c r="O34" s="62" t="n">
        <x:v>1.468</x:v>
      </x:c>
      <x:c r="P34" s="62" t="n">
        <x:f>IF(OR(N34="",O34=""),"",2*N34*O34/(N34+O34))</x:f>
        <x:v>2.271996302572793</x:v>
      </x:c>
      <x:c r="Q34" t="str">
        <x:v>1시간_측정_자유열람실1_오열에서_1.jpg; 1시간_측정_자유열람실1_오열에서_2.jpg</x:v>
      </x:c>
      <x:c r="R34" t="str">
        <x:v>기존 Excel 대응</x:v>
      </x:c>
      <x:c r="S34" t="str"/>
    </x:row>
    <x:row r="35" ht="15" hidden="0" customHeight="1">
      <x:c r="A35" t="str">
        <x:v>FREE1_1H_R1</x:v>
      </x:c>
      <x:c r="B35" t="str">
        <x:v>일반</x:v>
      </x:c>
      <x:c r="C35" t="str">
        <x:v>오픈열람실2</x:v>
      </x:c>
      <x:c r="D35" t="str">
        <x:v>자유열람실1 AP</x:v>
      </x:c>
      <x:c r="E35" t="str">
        <x:v>고정</x:v>
      </x:c>
      <x:c r="F35" t="n">
        <x:v>60</x:v>
      </x:c>
      <x:c r="G35" t="n">
        <x:v>1</x:v>
      </x:c>
      <x:c r="H35" t="n">
        <x:v>34</x:v>
      </x:c>
      <x:c r="I35" s="62" t="n">
        <x:v>-74</x:v>
      </x:c>
      <x:c r="J35" s="62" t="n">
        <x:v>424.25</x:v>
      </x:c>
      <x:c r="K35" s="62" t="n">
        <x:v>19</x:v>
      </x:c>
      <x:c r="L35" s="62" t="n">
        <x:v>6</x:v>
      </x:c>
      <x:c r="M35" s="62" t="n">
        <x:v>0</x:v>
      </x:c>
      <x:c r="N35" s="62" t="n">
        <x:v>6.0681</x:v>
      </x:c>
      <x:c r="O35" s="62" t="n">
        <x:v>0.4177</x:v>
      </x:c>
      <x:c r="P35" s="62" t="n">
        <x:f>IF(OR(N35="",O35=""),"",2*N35*O35/(N35+O35))</x:f>
        <x:v>0.7815983749113449</x:v>
      </x:c>
      <x:c r="Q35" t="str">
        <x:v>1시간_측정_자유열람실1_오열에서_1.jpg; 1시간_측정_자유열람실1_오열에서_2.jpg</x:v>
      </x:c>
      <x:c r="R35" t="str">
        <x:v>기존 Excel 대응</x:v>
      </x:c>
      <x:c r="S35" t="str"/>
    </x:row>
    <x:row r="36" ht="15" hidden="0" customHeight="1">
      <x:c r="A36" t="str">
        <x:v>FREE1_1H_R1</x:v>
      </x:c>
      <x:c r="B36" t="str">
        <x:v>일반</x:v>
      </x:c>
      <x:c r="C36" t="str">
        <x:v>오픈열람실2</x:v>
      </x:c>
      <x:c r="D36" t="str">
        <x:v>자유열람실1 AP</x:v>
      </x:c>
      <x:c r="E36" t="str">
        <x:v>고정</x:v>
      </x:c>
      <x:c r="F36" t="n">
        <x:v>60</x:v>
      </x:c>
      <x:c r="G36" t="n">
        <x:v>1</x:v>
      </x:c>
      <x:c r="H36" t="n">
        <x:v>35</x:v>
      </x:c>
      <x:c r="I36" s="62" t="n">
        <x:v>-76</x:v>
      </x:c>
      <x:c r="J36" s="62" t="n">
        <x:v>390</x:v>
      </x:c>
      <x:c r="K36" s="62" t="n">
        <x:v>23</x:v>
      </x:c>
      <x:c r="L36" s="62" t="n">
        <x:v>9</x:v>
      </x:c>
      <x:c r="M36" s="62" t="n">
        <x:v>0</x:v>
      </x:c>
      <x:c r="N36" s="62" t="n">
        <x:v>6.6936</x:v>
      </x:c>
      <x:c r="O36" s="62" t="n">
        <x:v>2.0849</x:v>
      </x:c>
      <x:c r="P36" s="62" t="n">
        <x:f>IF(OR(N36="",O36=""),"",2*N36*O36/(N36+O36))</x:f>
        <x:v>3.1794695312411005</x:v>
      </x:c>
      <x:c r="Q36" t="str">
        <x:v>1시간_측정_자유열람실1_오열에서_1.jpg; 1시간_측정_자유열람실1_오열에서_2.jpg</x:v>
      </x:c>
      <x:c r="R36" t="str">
        <x:v>기존 Excel 대응</x:v>
      </x:c>
      <x:c r="S36" t="str"/>
    </x:row>
    <x:row r="37" ht="15" hidden="0" customHeight="1">
      <x:c r="A37" t="str">
        <x:v>FREE1_1H_R1</x:v>
      </x:c>
      <x:c r="B37" t="str">
        <x:v>일반</x:v>
      </x:c>
      <x:c r="C37" t="str">
        <x:v>오픈열람실2</x:v>
      </x:c>
      <x:c r="D37" t="str">
        <x:v>자유열람실1 AP</x:v>
      </x:c>
      <x:c r="E37" t="str">
        <x:v>고정</x:v>
      </x:c>
      <x:c r="F37" t="n">
        <x:v>60</x:v>
      </x:c>
      <x:c r="G37" t="n">
        <x:v>1</x:v>
      </x:c>
      <x:c r="H37" t="n">
        <x:v>36</x:v>
      </x:c>
      <x:c r="I37" s="62" t="n">
        <x:v>-77</x:v>
      </x:c>
      <x:c r="J37" s="62" t="n">
        <x:v>390</x:v>
      </x:c>
      <x:c r="K37" s="62" t="n">
        <x:v>17</x:v>
      </x:c>
      <x:c r="L37" s="62" t="n">
        <x:v>4</x:v>
      </x:c>
      <x:c r="M37" s="62" t="n">
        <x:v>0</x:v>
      </x:c>
      <x:c r="N37" s="62" t="n">
        <x:v>3.3513</x:v>
      </x:c>
      <x:c r="O37" s="62" t="n">
        <x:v>1.2583</x:v>
      </x:c>
      <x:c r="P37" s="62" t="n">
        <x:f>IF(OR(N37="",O37=""),"",2*N37*O37/(N37+O37))</x:f>
        <x:v>1.8296341504685871</x:v>
      </x:c>
      <x:c r="Q37" t="str">
        <x:v>1시간_측정_자유열람실1_오열에서_1.jpg; 1시간_측정_자유열람실1_오열에서_2.jpg</x:v>
      </x:c>
      <x:c r="R37" t="str">
        <x:v>기존 Excel 대응</x:v>
      </x:c>
      <x:c r="S37" t="str"/>
    </x:row>
    <x:row r="38" ht="15" hidden="0" customHeight="1">
      <x:c r="A38" t="str">
        <x:v>FREE1_1H_R1</x:v>
      </x:c>
      <x:c r="B38" t="str">
        <x:v>일반</x:v>
      </x:c>
      <x:c r="C38" t="str">
        <x:v>오픈열람실2</x:v>
      </x:c>
      <x:c r="D38" t="str">
        <x:v>자유열람실1 AP</x:v>
      </x:c>
      <x:c r="E38" t="str">
        <x:v>고정</x:v>
      </x:c>
      <x:c r="F38" t="n">
        <x:v>60</x:v>
      </x:c>
      <x:c r="G38" t="n">
        <x:v>1</x:v>
      </x:c>
      <x:c r="H38" t="n">
        <x:v>37</x:v>
      </x:c>
      <x:c r="I38" s="62" t="n">
        <x:v>-78</x:v>
      </x:c>
      <x:c r="J38" s="62" t="n">
        <x:v>458.75</x:v>
      </x:c>
      <x:c r="K38" s="62" t="n">
        <x:v>24</x:v>
      </x:c>
      <x:c r="L38" s="62" t="n">
        <x:v>4</x:v>
      </x:c>
      <x:c r="M38" s="62" t="n">
        <x:v>0</x:v>
      </x:c>
      <x:c r="N38" s="62" t="n">
        <x:v>6.2739</x:v>
      </x:c>
      <x:c r="O38" s="62" t="n">
        <x:v>1.6759</x:v>
      </x:c>
      <x:c r="P38" s="62" t="n">
        <x:f>IF(OR(N38="",O38=""),"",2*N38*O38/(N38+O38))</x:f>
        <x:v>2.6452059196457776</x:v>
      </x:c>
      <x:c r="Q38" t="str">
        <x:v>1시간_측정_자유열람실1_오열에서_1.jpg; 1시간_측정_자유열람실1_오열에서_2.jpg</x:v>
      </x:c>
      <x:c r="R38" t="str">
        <x:v>기존 Excel 대응</x:v>
      </x:c>
      <x:c r="S38" t="str"/>
    </x:row>
    <x:row r="39" ht="15" hidden="0" customHeight="1">
      <x:c r="A39" t="str">
        <x:v>FREE1_1H_R1</x:v>
      </x:c>
      <x:c r="B39" t="str">
        <x:v>일반</x:v>
      </x:c>
      <x:c r="C39" t="str">
        <x:v>오픈열람실2</x:v>
      </x:c>
      <x:c r="D39" t="str">
        <x:v>자유열람실1 AP</x:v>
      </x:c>
      <x:c r="E39" t="str">
        <x:v>고정</x:v>
      </x:c>
      <x:c r="F39" t="n">
        <x:v>60</x:v>
      </x:c>
      <x:c r="G39" t="n">
        <x:v>1</x:v>
      </x:c>
      <x:c r="H39" t="n">
        <x:v>38</x:v>
      </x:c>
      <x:c r="I39" s="62" t="n">
        <x:v>-75</x:v>
      </x:c>
      <x:c r="J39" s="62" t="n">
        <x:v>390</x:v>
      </x:c>
      <x:c r="K39" s="62" t="n">
        <x:v>29</x:v>
      </x:c>
      <x:c r="L39" s="62" t="n">
        <x:v>8</x:v>
      </x:c>
      <x:c r="M39" s="62" t="n">
        <x:v>0</x:v>
      </x:c>
      <x:c r="N39" s="62" t="n">
        <x:v>7.1324</x:v>
      </x:c>
      <x:c r="O39" s="62" t="n">
        <x:v>3.3501</x:v>
      </x:c>
      <x:c r="P39" s="62" t="n">
        <x:f>IF(OR(N39="",O39=""),"",2*N39*O39/(N39+O39))</x:f>
        <x:v>4.558884472215597</x:v>
      </x:c>
      <x:c r="Q39" t="str">
        <x:v>1시간_측정_자유열람실1_오열에서_1.jpg; 1시간_측정_자유열람실1_오열에서_2.jpg</x:v>
      </x:c>
      <x:c r="R39" t="str">
        <x:v>기존 Excel 대응</x:v>
      </x:c>
      <x:c r="S39" t="str"/>
    </x:row>
    <x:row r="40" ht="15" hidden="0" customHeight="1">
      <x:c r="A40" t="str">
        <x:v>FREE1_1H_R1</x:v>
      </x:c>
      <x:c r="B40" t="str">
        <x:v>일반</x:v>
      </x:c>
      <x:c r="C40" t="str">
        <x:v>오픈열람실2</x:v>
      </x:c>
      <x:c r="D40" t="str">
        <x:v>자유열람실1 AP</x:v>
      </x:c>
      <x:c r="E40" t="str">
        <x:v>고정</x:v>
      </x:c>
      <x:c r="F40" t="n">
        <x:v>60</x:v>
      </x:c>
      <x:c r="G40" t="n">
        <x:v>1</x:v>
      </x:c>
      <x:c r="H40" t="n">
        <x:v>39</x:v>
      </x:c>
      <x:c r="I40" s="62" t="n">
        <x:v>-74</x:v>
      </x:c>
      <x:c r="J40" s="62" t="n">
        <x:v>458.75</x:v>
      </x:c>
      <x:c r="K40" s="62" t="n">
        <x:v>29</x:v>
      </x:c>
      <x:c r="L40" s="62" t="n">
        <x:v>10</x:v>
      </x:c>
      <x:c r="M40" s="62" t="n">
        <x:v>0</x:v>
      </x:c>
      <x:c r="N40" s="62" t="n">
        <x:v>4.4003</x:v>
      </x:c>
      <x:c r="O40" s="62" t="n">
        <x:v>1.8822</x:v>
      </x:c>
      <x:c r="P40" s="62" t="n">
        <x:f>IF(OR(N40="",O40=""),"",2*N40*O40/(N40+O40))</x:f>
        <x:v>2.6366079299641862</x:v>
      </x:c>
      <x:c r="Q40" t="str">
        <x:v>1시간_측정_자유열람실1_오열에서_1.jpg; 1시간_측정_자유열람실1_오열에서_2.jpg</x:v>
      </x:c>
      <x:c r="R40" t="str">
        <x:v>기존 Excel 대응</x:v>
      </x:c>
      <x:c r="S40" t="str"/>
    </x:row>
    <x:row r="41" ht="15" hidden="0" customHeight="1">
      <x:c r="A41" t="str">
        <x:v>FREE1_1H_R1</x:v>
      </x:c>
      <x:c r="B41" t="str">
        <x:v>일반</x:v>
      </x:c>
      <x:c r="C41" t="str">
        <x:v>오픈열람실2</x:v>
      </x:c>
      <x:c r="D41" t="str">
        <x:v>자유열람실1 AP</x:v>
      </x:c>
      <x:c r="E41" t="str">
        <x:v>고정</x:v>
      </x:c>
      <x:c r="F41" t="n">
        <x:v>60</x:v>
      </x:c>
      <x:c r="G41" t="n">
        <x:v>1</x:v>
      </x:c>
      <x:c r="H41" t="n">
        <x:v>40</x:v>
      </x:c>
      <x:c r="I41" s="62" t="n">
        <x:v>-78</x:v>
      </x:c>
      <x:c r="J41" s="62" t="n">
        <x:v>458.75</x:v>
      </x:c>
      <x:c r="K41" s="62" t="n">
        <x:v>28</x:v>
      </x:c>
      <x:c r="L41" s="62" t="n">
        <x:v>6</x:v>
      </x:c>
      <x:c r="M41" s="62" t="n">
        <x:v>0</x:v>
      </x:c>
      <x:c r="N41" s="62" t="n">
        <x:v>3.7636</x:v>
      </x:c>
      <x:c r="O41" s="62" t="n">
        <x:v>1.6773</x:v>
      </x:c>
      <x:c r="P41" s="62" t="n">
        <x:f>IF(OR(N41="",O41=""),"",2*N41*O41/(N41+O41))</x:f>
        <x:v>2.3204566450403425</x:v>
      </x:c>
      <x:c r="Q41" t="str">
        <x:v>1시간_측정_자유열람실1_오열에서_1.jpg; 1시간_측정_자유열람실1_오열에서_2.jpg</x:v>
      </x:c>
      <x:c r="R41" t="str">
        <x:v>기존 Excel 대응</x:v>
      </x:c>
      <x:c r="S41" t="str"/>
    </x:row>
    <x:row r="42" ht="15" hidden="0" customHeight="1">
      <x:c r="A42" t="str">
        <x:v>FREE1_1H_R1</x:v>
      </x:c>
      <x:c r="B42" t="str">
        <x:v>일반</x:v>
      </x:c>
      <x:c r="C42" t="str">
        <x:v>오픈열람실2</x:v>
      </x:c>
      <x:c r="D42" t="str">
        <x:v>자유열람실1 AP</x:v>
      </x:c>
      <x:c r="E42" t="str">
        <x:v>고정</x:v>
      </x:c>
      <x:c r="F42" t="n">
        <x:v>60</x:v>
      </x:c>
      <x:c r="G42" t="n">
        <x:v>1</x:v>
      </x:c>
      <x:c r="H42" t="n">
        <x:v>41</x:v>
      </x:c>
      <x:c r="I42" s="62" t="n">
        <x:v>-79</x:v>
      </x:c>
      <x:c r="J42" s="62" t="n">
        <x:v>458.75</x:v>
      </x:c>
      <x:c r="K42" s="62" t="n">
        <x:v>37</x:v>
      </x:c>
      <x:c r="L42" s="62" t="n">
        <x:v>6</x:v>
      </x:c>
      <x:c r="M42" s="62" t="n">
        <x:v>0</x:v>
      </x:c>
      <x:c r="N42" s="62" t="n">
        <x:v>1.4624</x:v>
      </x:c>
      <x:c r="O42" s="62" t="n">
        <x:v>0.8378</x:v>
      </x:c>
      <x:c r="P42" s="62" t="n">
        <x:f>IF(OR(N42="",O42=""),"",2*N42*O42/(N42+O42))</x:f>
        <x:v>1.065297556734197</x:v>
      </x:c>
      <x:c r="Q42" t="str">
        <x:v>1시간_측정_자유열람실1_오열에서_1.jpg; 1시간_측정_자유열람실1_오열에서_2.jpg</x:v>
      </x:c>
      <x:c r="R42" t="str">
        <x:v>기존 Excel 대응</x:v>
      </x:c>
      <x:c r="S42" t="str"/>
    </x:row>
    <x:row r="43" ht="15" hidden="0" customHeight="1">
      <x:c r="A43" t="str">
        <x:v>FREE1_1H_R1</x:v>
      </x:c>
      <x:c r="B43" t="str">
        <x:v>일반</x:v>
      </x:c>
      <x:c r="C43" t="str">
        <x:v>오픈열람실2</x:v>
      </x:c>
      <x:c r="D43" t="str">
        <x:v>자유열람실1 AP</x:v>
      </x:c>
      <x:c r="E43" t="str">
        <x:v>고정</x:v>
      </x:c>
      <x:c r="F43" t="n">
        <x:v>60</x:v>
      </x:c>
      <x:c r="G43" t="n">
        <x:v>1</x:v>
      </x:c>
      <x:c r="H43" t="n">
        <x:v>42</x:v>
      </x:c>
      <x:c r="I43" s="62" t="n">
        <x:v>-78</x:v>
      </x:c>
      <x:c r="J43" s="62" t="n">
        <x:v>458.75</x:v>
      </x:c>
      <x:c r="K43" s="62" t="n">
        <x:v>44</x:v>
      </x:c>
      <x:c r="L43" s="62" t="n">
        <x:v>13</x:v>
      </x:c>
      <x:c r="M43" s="62" t="n">
        <x:v>0</x:v>
      </x:c>
      <x:c r="N43" s="62" t="n">
        <x:v>8.1608</x:v>
      </x:c>
      <x:c r="O43" s="62" t="n">
        <x:v>1.257</x:v>
      </x:c>
      <x:c r="P43" s="62" t="n">
        <x:f>IF(OR(N43="",O43=""),"",2*N43*O43/(N43+O43))</x:f>
        <x:v>2.178454755887787</x:v>
      </x:c>
      <x:c r="Q43" t="str">
        <x:v>1시간_측정_자유열람실1_오열에서_1.jpg; 1시간_측정_자유열람실1_오열에서_2.jpg</x:v>
      </x:c>
      <x:c r="R43" t="str">
        <x:v>기존 Excel 대응</x:v>
      </x:c>
      <x:c r="S43" t="str"/>
    </x:row>
    <x:row r="44" ht="15" hidden="0" customHeight="1">
      <x:c r="A44" t="str">
        <x:v>FREE1_1H_R1</x:v>
      </x:c>
      <x:c r="B44" t="str">
        <x:v>일반</x:v>
      </x:c>
      <x:c r="C44" t="str">
        <x:v>오픈열람실2</x:v>
      </x:c>
      <x:c r="D44" t="str">
        <x:v>자유열람실1 AP</x:v>
      </x:c>
      <x:c r="E44" t="str">
        <x:v>고정</x:v>
      </x:c>
      <x:c r="F44" t="n">
        <x:v>60</x:v>
      </x:c>
      <x:c r="G44" t="n">
        <x:v>1</x:v>
      </x:c>
      <x:c r="H44" t="n">
        <x:v>43</x:v>
      </x:c>
      <x:c r="I44" s="62" t="n">
        <x:v>-78</x:v>
      </x:c>
      <x:c r="J44" s="62" t="n">
        <x:v>458.75</x:v>
      </x:c>
      <x:c r="K44" s="62" t="n">
        <x:v>30</x:v>
      </x:c>
      <x:c r="L44" s="62" t="n">
        <x:v>19</x:v>
      </x:c>
      <x:c r="M44" s="62" t="n">
        <x:v>0</x:v>
      </x:c>
      <x:c r="N44" s="62" t="n">
        <x:v>1.882</x:v>
      </x:c>
      <x:c r="O44" s="62" t="n">
        <x:v>3.1327</x:v>
      </x:c>
      <x:c r="P44" s="62" t="n">
        <x:f>IF(OR(N44="",O44=""),"",2*N44*O44/(N44+O44))</x:f>
        <x:v>2.351383492531956</x:v>
      </x:c>
      <x:c r="Q44" t="str">
        <x:v>1시간_측정_자유열람실1_오열에서_1.jpg; 1시간_측정_자유열람실1_오열에서_2.jpg</x:v>
      </x:c>
      <x:c r="R44" t="str">
        <x:v>기존 Excel 대응</x:v>
      </x:c>
      <x:c r="S44" t="str"/>
    </x:row>
    <x:row r="45" ht="15" hidden="0" customHeight="1">
      <x:c r="A45" t="str">
        <x:v>FREE1_1H_R1</x:v>
      </x:c>
      <x:c r="B45" t="str">
        <x:v>일반</x:v>
      </x:c>
      <x:c r="C45" t="str">
        <x:v>오픈열람실2</x:v>
      </x:c>
      <x:c r="D45" t="str">
        <x:v>자유열람실1 AP</x:v>
      </x:c>
      <x:c r="E45" t="str">
        <x:v>고정</x:v>
      </x:c>
      <x:c r="F45" t="n">
        <x:v>60</x:v>
      </x:c>
      <x:c r="G45" t="n">
        <x:v>1</x:v>
      </x:c>
      <x:c r="H45" t="n">
        <x:v>44</x:v>
      </x:c>
      <x:c r="I45" s="62" t="n">
        <x:v>-79</x:v>
      </x:c>
      <x:c r="J45" s="62" t="n">
        <x:v>458.75</x:v>
      </x:c>
      <x:c r="K45" s="62" t="n">
        <x:v>19</x:v>
      </x:c>
      <x:c r="L45" s="62" t="n">
        <x:v>5</x:v>
      </x:c>
      <x:c r="M45" s="62" t="n">
        <x:v>0</x:v>
      </x:c>
      <x:c r="N45" s="62" t="n">
        <x:v>4.4045</x:v>
      </x:c>
      <x:c r="O45" s="62" t="n">
        <x:v>2.3004</x:v>
      </x:c>
      <x:c r="P45" s="62" t="n">
        <x:f>IF(OR(N45="",O45=""),"",2*N45*O45/(N45+O45))</x:f>
        <x:v>3.0223006457963577</x:v>
      </x:c>
      <x:c r="Q45" t="str">
        <x:v>1시간_측정_자유열람실1_오열에서_1.jpg; 1시간_측정_자유열람실1_오열에서_2.jpg</x:v>
      </x:c>
      <x:c r="R45" t="str">
        <x:v>기존 Excel 대응</x:v>
      </x:c>
      <x:c r="S45" t="str"/>
    </x:row>
    <x:row r="46" ht="15" hidden="0" customHeight="1">
      <x:c r="A46" t="str">
        <x:v>FREE1_1H_R1</x:v>
      </x:c>
      <x:c r="B46" t="str">
        <x:v>일반</x:v>
      </x:c>
      <x:c r="C46" t="str">
        <x:v>오픈열람실2</x:v>
      </x:c>
      <x:c r="D46" t="str">
        <x:v>자유열람실1 AP</x:v>
      </x:c>
      <x:c r="E46" t="str">
        <x:v>고정</x:v>
      </x:c>
      <x:c r="F46" t="n">
        <x:v>60</x:v>
      </x:c>
      <x:c r="G46" t="n">
        <x:v>1</x:v>
      </x:c>
      <x:c r="H46" t="n">
        <x:v>45</x:v>
      </x:c>
      <x:c r="I46" s="62" t="n">
        <x:v>-78</x:v>
      </x:c>
      <x:c r="J46" s="62" t="n">
        <x:v>458.75</x:v>
      </x:c>
      <x:c r="K46" s="62" t="n">
        <x:v>36</x:v>
      </x:c>
      <x:c r="L46" s="62" t="n">
        <x:v>6</x:v>
      </x:c>
      <x:c r="M46" s="62" t="n">
        <x:v>0</x:v>
      </x:c>
      <x:c r="N46" s="62" t="n">
        <x:v>7.3258</x:v>
      </x:c>
      <x:c r="O46" s="62" t="n">
        <x:v>2.3039</x:v>
      </x:c>
      <x:c r="P46" s="62" t="n">
        <x:f>IF(OR(N46="",O46=""),"",2*N46*O46/(N46+O46))</x:f>
        <x:v>3.5053865894056933</x:v>
      </x:c>
      <x:c r="Q46" t="str">
        <x:v>1시간_측정_자유열람실1_오열에서_1.jpg; 1시간_측정_자유열람실1_오열에서_2.jpg</x:v>
      </x:c>
      <x:c r="R46" t="str">
        <x:v>기존 Excel 대응</x:v>
      </x:c>
      <x:c r="S46" t="str"/>
    </x:row>
    <x:row r="47" ht="15" hidden="0" customHeight="1">
      <x:c r="A47" t="str">
        <x:v>FREE1_1H_R1</x:v>
      </x:c>
      <x:c r="B47" t="str">
        <x:v>일반</x:v>
      </x:c>
      <x:c r="C47" t="str">
        <x:v>오픈열람실2</x:v>
      </x:c>
      <x:c r="D47" t="str">
        <x:v>자유열람실1 AP</x:v>
      </x:c>
      <x:c r="E47" t="str">
        <x:v>고정</x:v>
      </x:c>
      <x:c r="F47" t="n">
        <x:v>60</x:v>
      </x:c>
      <x:c r="G47" t="n">
        <x:v>1</x:v>
      </x:c>
      <x:c r="H47" t="n">
        <x:v>46</x:v>
      </x:c>
      <x:c r="I47" s="62" t="n">
        <x:v>-80</x:v>
      </x:c>
      <x:c r="J47" s="62" t="n">
        <x:v>458.75</x:v>
      </x:c>
      <x:c r="K47" s="62" t="n">
        <x:v>27</x:v>
      </x:c>
      <x:c r="L47" s="62" t="n">
        <x:v>7</x:v>
      </x:c>
      <x:c r="M47" s="62" t="n">
        <x:v>0</x:v>
      </x:c>
      <x:c r="N47" s="62" t="n">
        <x:v>3.5511</x:v>
      </x:c>
      <x:c r="O47" s="62" t="n">
        <x:v>3.5571</x:v>
      </x:c>
      <x:c r="P47" s="62" t="n">
        <x:f>IF(OR(N47="",O47=""),"",2*N47*O47/(N47+O47))</x:f>
        <x:v>3.554097467713345</x:v>
      </x:c>
      <x:c r="Q47" t="str">
        <x:v>1시간_측정_자유열람실1_오열에서_1.jpg; 1시간_측정_자유열람실1_오열에서_2.jpg</x:v>
      </x:c>
      <x:c r="R47" t="str">
        <x:v>기존 Excel 대응</x:v>
      </x:c>
      <x:c r="S47" t="str"/>
    </x:row>
    <x:row r="48" ht="15" hidden="0" customHeight="1">
      <x:c r="A48" t="str">
        <x:v>FREE1_1H_R1</x:v>
      </x:c>
      <x:c r="B48" t="str">
        <x:v>일반</x:v>
      </x:c>
      <x:c r="C48" t="str">
        <x:v>오픈열람실2</x:v>
      </x:c>
      <x:c r="D48" t="str">
        <x:v>자유열람실1 AP</x:v>
      </x:c>
      <x:c r="E48" t="str">
        <x:v>고정</x:v>
      </x:c>
      <x:c r="F48" t="n">
        <x:v>60</x:v>
      </x:c>
      <x:c r="G48" t="n">
        <x:v>1</x:v>
      </x:c>
      <x:c r="H48" t="n">
        <x:v>47</x:v>
      </x:c>
      <x:c r="I48" s="62" t="n">
        <x:v>-76</x:v>
      </x:c>
      <x:c r="J48" s="62" t="n">
        <x:v>390</x:v>
      </x:c>
      <x:c r="K48" s="62" t="n">
        <x:v>23</x:v>
      </x:c>
      <x:c r="L48" s="62" t="n">
        <x:v>4</x:v>
      </x:c>
      <x:c r="M48" s="62" t="n">
        <x:v>0</x:v>
      </x:c>
      <x:c r="N48" s="62" t="n">
        <x:v>9.236</x:v>
      </x:c>
      <x:c r="O48" s="62" t="n">
        <x:v>1.8852</x:v>
      </x:c>
      <x:c r="P48" s="62" t="n">
        <x:f>IF(OR(N48="",O48=""),"",2*N48*O48/(N48+O48))</x:f>
        <x:v>3.131264108189764</x:v>
      </x:c>
      <x:c r="Q48" t="str">
        <x:v>1시간_측정_자유열람실1_오열에서_1.jpg; 1시간_측정_자유열람실1_오열에서_2.jpg</x:v>
      </x:c>
      <x:c r="R48" t="str">
        <x:v>기존 Excel 대응</x:v>
      </x:c>
      <x:c r="S48" t="str"/>
    </x:row>
    <x:row r="49" ht="15" hidden="0" customHeight="1">
      <x:c r="A49" t="str">
        <x:v>FREE1_1H_R1</x:v>
      </x:c>
      <x:c r="B49" t="str">
        <x:v>일반</x:v>
      </x:c>
      <x:c r="C49" t="str">
        <x:v>오픈열람실2</x:v>
      </x:c>
      <x:c r="D49" t="str">
        <x:v>자유열람실1 AP</x:v>
      </x:c>
      <x:c r="E49" t="str">
        <x:v>고정</x:v>
      </x:c>
      <x:c r="F49" t="n">
        <x:v>60</x:v>
      </x:c>
      <x:c r="G49" t="n">
        <x:v>1</x:v>
      </x:c>
      <x:c r="H49" t="n">
        <x:v>48</x:v>
      </x:c>
      <x:c r="I49" s="62" t="n">
        <x:v>-75</x:v>
      </x:c>
      <x:c r="J49" s="62" t="n">
        <x:v>390</x:v>
      </x:c>
      <x:c r="K49" s="62" t="n">
        <x:v>34</x:v>
      </x:c>
      <x:c r="L49" s="62" t="n">
        <x:v>24</x:v>
      </x:c>
      <x:c r="M49" s="62" t="n">
        <x:v>0</x:v>
      </x:c>
      <x:c r="N49" s="62" t="n">
        <x:v>7.1393</x:v>
      </x:c>
      <x:c r="O49" s="62" t="n">
        <x:v>2.3068</x:v>
      </x:c>
      <x:c r="P49" s="62" t="n">
        <x:f>IF(OR(N49="",O49=""),"",2*N49*O49/(N49+O49))</x:f>
        <x:v>3.486928412784112</x:v>
      </x:c>
      <x:c r="Q49" t="str">
        <x:v>1시간_측정_자유열람실1_오열에서_1.jpg; 1시간_측정_자유열람실1_오열에서_2.jpg</x:v>
      </x:c>
      <x:c r="R49" t="str">
        <x:v>기존 Excel 대응</x:v>
      </x:c>
      <x:c r="S49" t="str"/>
    </x:row>
    <x:row r="50" ht="15" hidden="0" customHeight="1">
      <x:c r="A50" t="str">
        <x:v>FREE1_1H_R1</x:v>
      </x:c>
      <x:c r="B50" t="str">
        <x:v>일반</x:v>
      </x:c>
      <x:c r="C50" t="str">
        <x:v>오픈열람실2</x:v>
      </x:c>
      <x:c r="D50" t="str">
        <x:v>자유열람실1 AP</x:v>
      </x:c>
      <x:c r="E50" t="str">
        <x:v>고정</x:v>
      </x:c>
      <x:c r="F50" t="n">
        <x:v>60</x:v>
      </x:c>
      <x:c r="G50" t="n">
        <x:v>1</x:v>
      </x:c>
      <x:c r="H50" t="n">
        <x:v>49</x:v>
      </x:c>
      <x:c r="I50" s="62" t="n">
        <x:v>-78</x:v>
      </x:c>
      <x:c r="J50" s="62" t="n">
        <x:v>390</x:v>
      </x:c>
      <x:c r="K50" s="62" t="n">
        <x:v>24</x:v>
      </x:c>
      <x:c r="L50" s="62" t="n">
        <x:v>4</x:v>
      </x:c>
      <x:c r="M50" s="62" t="n">
        <x:v>0</x:v>
      </x:c>
      <x:c r="N50" s="62" t="n">
        <x:v>10.241</x:v>
      </x:c>
      <x:c r="O50" s="62" t="n">
        <x:v>2.7276</x:v>
      </x:c>
      <x:c r="P50" s="62" t="n">
        <x:f>IF(OR(N50="",O50=""),"",2*N50*O50/(N50+O50))</x:f>
        <x:v>4.307843807350061</x:v>
      </x:c>
      <x:c r="Q50" t="str">
        <x:v>1시간_측정_자유열람실1_오열에서_1.jpg; 1시간_측정_자유열람실1_오열에서_2.jpg</x:v>
      </x:c>
      <x:c r="R50" t="str">
        <x:v>기존 Excel 대응</x:v>
      </x:c>
      <x:c r="S50" t="str"/>
    </x:row>
    <x:row r="51" ht="15" hidden="0" customHeight="1">
      <x:c r="A51" t="str">
        <x:v>FREE1_1H_R1</x:v>
      </x:c>
      <x:c r="B51" t="str">
        <x:v>일반</x:v>
      </x:c>
      <x:c r="C51" t="str">
        <x:v>오픈열람실2</x:v>
      </x:c>
      <x:c r="D51" t="str">
        <x:v>자유열람실1 AP</x:v>
      </x:c>
      <x:c r="E51" t="str">
        <x:v>고정</x:v>
      </x:c>
      <x:c r="F51" t="n">
        <x:v>60</x:v>
      </x:c>
      <x:c r="G51" t="n">
        <x:v>1</x:v>
      </x:c>
      <x:c r="H51" t="n">
        <x:v>50</x:v>
      </x:c>
      <x:c r="I51" s="62" t="n">
        <x:v>-71</x:v>
      </x:c>
      <x:c r="J51" s="62" t="n">
        <x:v>390</x:v>
      </x:c>
      <x:c r="K51" s="62" t="n">
        <x:v>29</x:v>
      </x:c>
      <x:c r="L51" s="62" t="n">
        <x:v>5</x:v>
      </x:c>
      <x:c r="M51" s="62" t="n">
        <x:v>0</x:v>
      </x:c>
      <x:c r="N51" s="62" t="n">
        <x:v>11.099</x:v>
      </x:c>
      <x:c r="O51" s="62" t="n">
        <x:v>2.5117</x:v>
      </x:c>
      <x:c r="P51" s="62" t="n">
        <x:f>IF(OR(N51="",O51=""),"",2*N51*O51/(N51+O51))</x:f>
        <x:v>4.096388620717524</x:v>
      </x:c>
      <x:c r="Q51" t="str">
        <x:v>1시간_측정_자유열람실1_오열에서_1.jpg; 1시간_측정_자유열람실1_오열에서_2.jpg</x:v>
      </x:c>
      <x:c r="R51" t="str">
        <x:v>기존 Excel 대응</x:v>
      </x:c>
      <x:c r="S51" t="str"/>
    </x:row>
    <x:row r="52" ht="15" hidden="0" customHeight="1">
      <x:c r="A52" t="str">
        <x:v>FREE1_1H_R1</x:v>
      </x:c>
      <x:c r="B52" t="str">
        <x:v>일반</x:v>
      </x:c>
      <x:c r="C52" t="str">
        <x:v>오픈열람실2</x:v>
      </x:c>
      <x:c r="D52" t="str">
        <x:v>자유열람실1 AP</x:v>
      </x:c>
      <x:c r="E52" t="str">
        <x:v>고정</x:v>
      </x:c>
      <x:c r="F52" t="n">
        <x:v>60</x:v>
      </x:c>
      <x:c r="G52" t="n">
        <x:v>1</x:v>
      </x:c>
      <x:c r="H52" t="n">
        <x:v>51</x:v>
      </x:c>
      <x:c r="I52" s="62" t="n">
        <x:v>-74</x:v>
      </x:c>
      <x:c r="J52" s="62" t="n">
        <x:v>390</x:v>
      </x:c>
      <x:c r="K52" s="62" t="n">
        <x:v>28</x:v>
      </x:c>
      <x:c r="L52" s="62" t="n">
        <x:v>3</x:v>
      </x:c>
      <x:c r="M52" s="62" t="n">
        <x:v>0</x:v>
      </x:c>
      <x:c r="N52" s="62" t="n">
        <x:v>4.1922</x:v>
      </x:c>
      <x:c r="O52" s="62" t="n">
        <x:v>2.519</x:v>
      </x:c>
      <x:c r="P52" s="62" t="n">
        <x:f>IF(OR(N52="",O52=""),"",2*N52*O52/(N52+O52))</x:f>
        <x:v>3.1470234235308143</x:v>
      </x:c>
      <x:c r="Q52" t="str">
        <x:v>1시간_측정_자유열람실1_오열에서_1.jpg; 1시간_측정_자유열람실1_오열에서_2.jpg</x:v>
      </x:c>
      <x:c r="R52" t="str">
        <x:v>기존 Excel 대응</x:v>
      </x:c>
      <x:c r="S52" t="str"/>
    </x:row>
    <x:row r="53" ht="15" hidden="0" customHeight="1">
      <x:c r="A53" t="str">
        <x:v>FREE1_1H_R1</x:v>
      </x:c>
      <x:c r="B53" t="str">
        <x:v>일반</x:v>
      </x:c>
      <x:c r="C53" t="str">
        <x:v>오픈열람실2</x:v>
      </x:c>
      <x:c r="D53" t="str">
        <x:v>자유열람실1 AP</x:v>
      </x:c>
      <x:c r="E53" t="str">
        <x:v>고정</x:v>
      </x:c>
      <x:c r="F53" t="n">
        <x:v>60</x:v>
      </x:c>
      <x:c r="G53" t="n">
        <x:v>1</x:v>
      </x:c>
      <x:c r="H53" t="n">
        <x:v>52</x:v>
      </x:c>
      <x:c r="I53" s="62" t="n">
        <x:v>-75</x:v>
      </x:c>
      <x:c r="J53" s="62" t="n">
        <x:v>390</x:v>
      </x:c>
      <x:c r="K53" s="62" t="n">
        <x:v>30</x:v>
      </x:c>
      <x:c r="L53" s="62" t="n">
        <x:v>7</x:v>
      </x:c>
      <x:c r="M53" s="62" t="n">
        <x:v>0</x:v>
      </x:c>
      <x:c r="N53" s="62" t="n">
        <x:v>3.1325</x:v>
      </x:c>
      <x:c r="O53" s="62" t="n">
        <x:v>3.7642</x:v>
      </x:c>
      <x:c r="P53" s="62" t="n">
        <x:f>IF(OR(N53="",O53=""),"",2*N53*O53/(N53+O53))</x:f>
        <x:v>3.4194198674728495</x:v>
      </x:c>
      <x:c r="Q53" t="str">
        <x:v>1시간_측정_자유열람실1_오열에서_1.jpg; 1시간_측정_자유열람실1_오열에서_2.jpg</x:v>
      </x:c>
      <x:c r="R53" t="str">
        <x:v>기존 Excel 대응</x:v>
      </x:c>
      <x:c r="S53" t="str"/>
    </x:row>
    <x:row r="54" ht="15" hidden="0" customHeight="1">
      <x:c r="A54" t="str">
        <x:v>FREE1_1H_R1</x:v>
      </x:c>
      <x:c r="B54" t="str">
        <x:v>일반</x:v>
      </x:c>
      <x:c r="C54" t="str">
        <x:v>오픈열람실2</x:v>
      </x:c>
      <x:c r="D54" t="str">
        <x:v>자유열람실1 AP</x:v>
      </x:c>
      <x:c r="E54" t="str">
        <x:v>고정</x:v>
      </x:c>
      <x:c r="F54" t="n">
        <x:v>60</x:v>
      </x:c>
      <x:c r="G54" t="n">
        <x:v>1</x:v>
      </x:c>
      <x:c r="H54" t="n">
        <x:v>53</x:v>
      </x:c>
      <x:c r="I54" s="62" t="n">
        <x:v>-75</x:v>
      </x:c>
      <x:c r="J54" s="62" t="n">
        <x:v>390</x:v>
      </x:c>
      <x:c r="K54" s="62" t="n">
        <x:v>25</x:v>
      </x:c>
      <x:c r="L54" s="62" t="n">
        <x:v>6</x:v>
      </x:c>
      <x:c r="M54" s="62" t="n">
        <x:v>0</x:v>
      </x:c>
      <x:c r="N54" s="62" t="n">
        <x:v>9.4204</x:v>
      </x:c>
      <x:c r="O54" s="62" t="n">
        <x:v>2.9277</x:v>
      </x:c>
      <x:c r="P54" s="62" t="n">
        <x:f>IF(OR(N54="",O54=""),"",2*N54*O54/(N54+O54))</x:f>
        <x:v>4.467101024449105</x:v>
      </x:c>
      <x:c r="Q54" t="str">
        <x:v>1시간_측정_자유열람실1_오열에서_1.jpg; 1시간_측정_자유열람실1_오열에서_2.jpg</x:v>
      </x:c>
      <x:c r="R54" t="str">
        <x:v>기존 Excel 대응</x:v>
      </x:c>
      <x:c r="S54" t="str"/>
    </x:row>
    <x:row r="55" ht="15" hidden="0" customHeight="1">
      <x:c r="A55" t="str">
        <x:v>FREE1_1H_R1</x:v>
      </x:c>
      <x:c r="B55" t="str">
        <x:v>일반</x:v>
      </x:c>
      <x:c r="C55" t="str">
        <x:v>오픈열람실2</x:v>
      </x:c>
      <x:c r="D55" t="str">
        <x:v>자유열람실1 AP</x:v>
      </x:c>
      <x:c r="E55" t="str">
        <x:v>고정</x:v>
      </x:c>
      <x:c r="F55" t="n">
        <x:v>60</x:v>
      </x:c>
      <x:c r="G55" t="n">
        <x:v>1</x:v>
      </x:c>
      <x:c r="H55" t="n">
        <x:v>54</x:v>
      </x:c>
      <x:c r="I55" s="62" t="n">
        <x:v>-77</x:v>
      </x:c>
      <x:c r="J55" s="62" t="n">
        <x:v>458.75</x:v>
      </x:c>
      <x:c r="K55" s="62" t="n">
        <x:v>55</x:v>
      </x:c>
      <x:c r="L55" s="62" t="n">
        <x:v>10</x:v>
      </x:c>
      <x:c r="M55" s="62" t="n">
        <x:v>0</x:v>
      </x:c>
      <x:c r="N55" s="62" t="n">
        <x:v>4.3941</x:v>
      </x:c>
      <x:c r="O55" s="62" t="n">
        <x:v>2.9316</x:v>
      </x:c>
      <x:c r="P55" s="62" t="n">
        <x:f>IF(OR(N55="",O55=""),"",2*N55*O55/(N55+O55))</x:f>
        <x:v>3.516863524304845</x:v>
      </x:c>
      <x:c r="Q55" t="str">
        <x:v>1시간_측정_자유열람실1_오열에서_1.jpg; 1시간_측정_자유열람실1_오열에서_2.jpg</x:v>
      </x:c>
      <x:c r="R55" t="str">
        <x:v>기존 Excel 대응</x:v>
      </x:c>
      <x:c r="S55" t="str"/>
    </x:row>
    <x:row r="56" ht="15" hidden="0" customHeight="1">
      <x:c r="A56" t="str">
        <x:v>FREE1_1H_R1</x:v>
      </x:c>
      <x:c r="B56" t="str">
        <x:v>일반</x:v>
      </x:c>
      <x:c r="C56" t="str">
        <x:v>오픈열람실2</x:v>
      </x:c>
      <x:c r="D56" t="str">
        <x:v>자유열람실1 AP</x:v>
      </x:c>
      <x:c r="E56" t="str">
        <x:v>고정</x:v>
      </x:c>
      <x:c r="F56" t="n">
        <x:v>60</x:v>
      </x:c>
      <x:c r="G56" t="n">
        <x:v>1</x:v>
      </x:c>
      <x:c r="H56" t="n">
        <x:v>55</x:v>
      </x:c>
      <x:c r="I56" s="62" t="n">
        <x:v>-71</x:v>
      </x:c>
      <x:c r="J56" s="62" t="n">
        <x:v>390</x:v>
      </x:c>
      <x:c r="K56" s="62" t="n">
        <x:v>32</x:v>
      </x:c>
      <x:c r="L56" s="62" t="n">
        <x:v>7</x:v>
      </x:c>
      <x:c r="M56" s="62" t="n">
        <x:v>0</x:v>
      </x:c>
      <x:c r="N56" s="62" t="n">
        <x:v>3.9759</x:v>
      </x:c>
      <x:c r="O56" s="62" t="n">
        <x:v>1.6742</x:v>
      </x:c>
      <x:c r="P56" s="62" t="n">
        <x:f>IF(OR(N56="",O56=""),"",2*N56*O56/(N56+O56))</x:f>
        <x:v>2.356224413727191</x:v>
      </x:c>
      <x:c r="Q56" t="str">
        <x:v>1시간_측정_자유열람실1_오열에서_1.jpg; 1시간_측정_자유열람실1_오열에서_2.jpg</x:v>
      </x:c>
      <x:c r="R56" t="str">
        <x:v>기존 Excel 대응</x:v>
      </x:c>
      <x:c r="S56" t="str"/>
    </x:row>
    <x:row r="57" ht="15" hidden="0" customHeight="1">
      <x:c r="A57" t="str">
        <x:v>FREE1_1H_R1</x:v>
      </x:c>
      <x:c r="B57" t="str">
        <x:v>일반</x:v>
      </x:c>
      <x:c r="C57" t="str">
        <x:v>오픈열람실2</x:v>
      </x:c>
      <x:c r="D57" t="str">
        <x:v>자유열람실1 AP</x:v>
      </x:c>
      <x:c r="E57" t="str">
        <x:v>고정</x:v>
      </x:c>
      <x:c r="F57" t="n">
        <x:v>60</x:v>
      </x:c>
      <x:c r="G57" t="n">
        <x:v>1</x:v>
      </x:c>
      <x:c r="H57" t="n">
        <x:v>56</x:v>
      </x:c>
      <x:c r="I57" s="62" t="n">
        <x:v>-77</x:v>
      </x:c>
      <x:c r="J57" s="62" t="n">
        <x:v>390</x:v>
      </x:c>
      <x:c r="K57" s="62" t="n">
        <x:v>16</x:v>
      </x:c>
      <x:c r="L57" s="62" t="n">
        <x:v>3</x:v>
      </x:c>
      <x:c r="M57" s="62" t="n">
        <x:v>0</x:v>
      </x:c>
      <x:c r="N57" s="62" t="n">
        <x:v>9.8181</x:v>
      </x:c>
      <x:c r="O57" s="62" t="n">
        <x:v>3.7754</x:v>
      </x:c>
      <x:c r="P57" s="62" t="n">
        <x:f>IF(OR(N57="",O57=""),"",2*N57*O57/(N57+O57))</x:f>
        <x:v>5.453673408614411</x:v>
      </x:c>
      <x:c r="Q57" t="str">
        <x:v>1시간_측정_자유열람실1_오열에서_1.jpg; 1시간_측정_자유열람실1_오열에서_2.jpg</x:v>
      </x:c>
      <x:c r="R57" t="str">
        <x:v>기존 Excel 대응</x:v>
      </x:c>
      <x:c r="S57" t="str"/>
    </x:row>
    <x:row r="58" ht="15" hidden="0" customHeight="1">
      <x:c r="A58" t="str">
        <x:v>FREE1_1H_R1</x:v>
      </x:c>
      <x:c r="B58" t="str">
        <x:v>일반</x:v>
      </x:c>
      <x:c r="C58" t="str">
        <x:v>오픈열람실2</x:v>
      </x:c>
      <x:c r="D58" t="str">
        <x:v>자유열람실1 AP</x:v>
      </x:c>
      <x:c r="E58" t="str">
        <x:v>고정</x:v>
      </x:c>
      <x:c r="F58" t="n">
        <x:v>60</x:v>
      </x:c>
      <x:c r="G58" t="n">
        <x:v>1</x:v>
      </x:c>
      <x:c r="H58" t="n">
        <x:v>57</x:v>
      </x:c>
      <x:c r="I58" s="62" t="n">
        <x:v>-71</x:v>
      </x:c>
      <x:c r="J58" s="62" t="n">
        <x:v>390</x:v>
      </x:c>
      <x:c r="K58" s="62" t="n">
        <x:v>31</x:v>
      </x:c>
      <x:c r="L58" s="62" t="n">
        <x:v>3</x:v>
      </x:c>
      <x:c r="M58" s="62" t="n">
        <x:v>0</x:v>
      </x:c>
      <x:c r="N58" s="62" t="n">
        <x:v>9.1805</x:v>
      </x:c>
      <x:c r="O58" s="62" t="n">
        <x:v>3.1388</x:v>
      </x:c>
      <x:c r="P58" s="62" t="n">
        <x:f>IF(OR(N58="",O58=""),"",2*N58*O58/(N58+O58))</x:f>
        <x:v>4.678147849309619</x:v>
      </x:c>
      <x:c r="Q58" t="str">
        <x:v>1시간_측정_자유열람실1_오열에서_1.jpg; 1시간_측정_자유열람실1_오열에서_2.jpg</x:v>
      </x:c>
      <x:c r="R58" t="str">
        <x:v>기존 Excel 대응</x:v>
      </x:c>
      <x:c r="S58" t="str"/>
    </x:row>
    <x:row r="59" ht="15" hidden="0" customHeight="1">
      <x:c r="A59" t="str">
        <x:v>FREE1_1H_R1</x:v>
      </x:c>
      <x:c r="B59" t="str">
        <x:v>일반</x:v>
      </x:c>
      <x:c r="C59" t="str">
        <x:v>오픈열람실2</x:v>
      </x:c>
      <x:c r="D59" t="str">
        <x:v>자유열람실1 AP</x:v>
      </x:c>
      <x:c r="E59" t="str">
        <x:v>고정</x:v>
      </x:c>
      <x:c r="F59" t="n">
        <x:v>60</x:v>
      </x:c>
      <x:c r="G59" t="n">
        <x:v>1</x:v>
      </x:c>
      <x:c r="H59" t="n">
        <x:v>58</x:v>
      </x:c>
      <x:c r="I59" s="62" t="n">
        <x:v>-74</x:v>
      </x:c>
      <x:c r="J59" s="62" t="n">
        <x:v>390</x:v>
      </x:c>
      <x:c r="K59" s="62" t="n">
        <x:v>24</x:v>
      </x:c>
      <x:c r="L59" s="62" t="n">
        <x:v>3</x:v>
      </x:c>
      <x:c r="M59" s="62" t="n">
        <x:v>0</x:v>
      </x:c>
      <x:c r="N59" s="62" t="n">
        <x:v>8.7841</x:v>
      </x:c>
      <x:c r="O59" s="62" t="n">
        <x:v>3.3551</x:v>
      </x:c>
      <x:c r="P59" s="62" t="n">
        <x:f>IF(OR(N59="",O59=""),"",2*N59*O59/(N59+O59))</x:f>
        <x:v>4.85559738862528</x:v>
      </x:c>
      <x:c r="Q59" t="str">
        <x:v>1시간_측정_자유열람실1_오열에서_1.jpg; 1시간_측정_자유열람실1_오열에서_2.jpg</x:v>
      </x:c>
      <x:c r="R59" t="str">
        <x:v>기존 Excel 대응</x:v>
      </x:c>
      <x:c r="S59" t="str"/>
    </x:row>
    <x:row r="60" ht="15" hidden="0" customHeight="1">
      <x:c r="A60" t="str">
        <x:v>FREE1_1H_R1</x:v>
      </x:c>
      <x:c r="B60" t="str">
        <x:v>일반</x:v>
      </x:c>
      <x:c r="C60" t="str">
        <x:v>오픈열람실2</x:v>
      </x:c>
      <x:c r="D60" t="str">
        <x:v>자유열람실1 AP</x:v>
      </x:c>
      <x:c r="E60" t="str">
        <x:v>고정</x:v>
      </x:c>
      <x:c r="F60" t="n">
        <x:v>60</x:v>
      </x:c>
      <x:c r="G60" t="n">
        <x:v>1</x:v>
      </x:c>
      <x:c r="H60" t="n">
        <x:v>59</x:v>
      </x:c>
      <x:c r="I60" s="62" t="n">
        <x:v>-75</x:v>
      </x:c>
      <x:c r="J60" s="62" t="n">
        <x:v>390</x:v>
      </x:c>
      <x:c r="K60" s="62" t="n">
        <x:v>20</x:v>
      </x:c>
      <x:c r="L60" s="62" t="n">
        <x:v>5</x:v>
      </x:c>
      <x:c r="M60" s="62" t="n">
        <x:v>0</x:v>
      </x:c>
      <x:c r="N60" s="62" t="n">
        <x:v>3.3419</x:v>
      </x:c>
      <x:c r="O60" s="62" t="n">
        <x:v>4.1853</x:v>
      </x:c>
      <x:c r="P60" s="62" t="n">
        <x:f>IF(OR(N60="",O60=""),"",2*N60*O60/(N60+O60))</x:f>
        <x:v>3.71634979009459</x:v>
      </x:c>
      <x:c r="Q60" t="str">
        <x:v>1시간_측정_자유열람실1_오열에서_1.jpg; 1시간_측정_자유열람실1_오열에서_2.jpg</x:v>
      </x:c>
      <x:c r="R60" t="str">
        <x:v>기존 Excel 대응</x:v>
      </x:c>
      <x:c r="S60" t="str"/>
    </x:row>
    <x:row r="61" ht="15" hidden="0" customHeight="1">
      <x:c r="A61" t="str">
        <x:v>FREE1_1H_R1</x:v>
      </x:c>
      <x:c r="B61" t="str">
        <x:v>일반</x:v>
      </x:c>
      <x:c r="C61" t="str">
        <x:v>오픈열람실2</x:v>
      </x:c>
      <x:c r="D61" t="str">
        <x:v>자유열람실1 AP</x:v>
      </x:c>
      <x:c r="E61" t="str">
        <x:v>고정</x:v>
      </x:c>
      <x:c r="F61" t="n">
        <x:v>60</x:v>
      </x:c>
      <x:c r="G61" t="n">
        <x:v>1</x:v>
      </x:c>
      <x:c r="H61" t="n">
        <x:v>60</x:v>
      </x:c>
      <x:c r="I61" s="62" t="n">
        <x:v>-77</x:v>
      </x:c>
      <x:c r="J61" s="62" t="n">
        <x:v>390</x:v>
      </x:c>
      <x:c r="K61" s="62" t="n">
        <x:v>32</x:v>
      </x:c>
      <x:c r="L61" s="62" t="n">
        <x:v>6</x:v>
      </x:c>
      <x:c r="M61" s="62" t="n">
        <x:v>0</x:v>
      </x:c>
      <x:c r="N61" s="62" t="n">
        <x:v>7.3289</x:v>
      </x:c>
      <x:c r="O61" s="62" t="n">
        <x:v>2.5092</x:v>
      </x:c>
      <x:c r="P61" s="62" t="n">
        <x:f>IF(OR(N61="",O61=""),"",2*N61*O61/(N61+O61))</x:f>
        <x:v>3.7384608572793523</x:v>
      </x:c>
      <x:c r="Q61" t="str">
        <x:v>1시간_측정_자유열람실1_오열에서_1.jpg; 1시간_측정_자유열람실1_오열에서_2.jpg</x:v>
      </x:c>
      <x:c r="R61" t="str">
        <x:v>기존 Excel 대응</x:v>
      </x:c>
      <x:c r="S61" t="str"/>
    </x:row>
    <x:row r="62" ht="15" hidden="0" customHeight="1">
      <x:c r="A62" t="str">
        <x:v>FREE1_1H_R1</x:v>
      </x:c>
      <x:c r="B62" t="str">
        <x:v>일반</x:v>
      </x:c>
      <x:c r="C62" t="str">
        <x:v>오픈열람실2</x:v>
      </x:c>
      <x:c r="D62" t="str">
        <x:v>자유열람실1 AP</x:v>
      </x:c>
      <x:c r="E62" t="str">
        <x:v>고정</x:v>
      </x:c>
      <x:c r="F62" t="n">
        <x:v>60</x:v>
      </x:c>
      <x:c r="G62" t="n">
        <x:v>1</x:v>
      </x:c>
      <x:c r="H62" t="n">
        <x:v>61</x:v>
      </x:c>
      <x:c r="I62" s="62" t="n">
        <x:v>-72</x:v>
      </x:c>
      <x:c r="J62" s="62" t="n">
        <x:v>390</x:v>
      </x:c>
      <x:c r="K62" s="62" t="n">
        <x:v>28</x:v>
      </x:c>
      <x:c r="L62" s="62" t="n">
        <x:v>5</x:v>
      </x:c>
      <x:c r="M62" s="62" t="n">
        <x:v>0</x:v>
      </x:c>
      <x:c r="N62" s="62" t="n">
        <x:v>3.3454</x:v>
      </x:c>
      <x:c r="O62" s="62" t="n">
        <x:v>2.9198</x:v>
      </x:c>
      <x:c r="P62" s="62" t="n">
        <x:f>IF(OR(N62="",O62=""),"",2*N62*O62/(N62+O62))</x:f>
        <x:v>3.1181443273957736</x:v>
      </x:c>
      <x:c r="Q62" t="str">
        <x:v>1시간_측정_자유열람실1_오열에서_1.jpg; 1시간_측정_자유열람실1_오열에서_2.jpg</x:v>
      </x:c>
      <x:c r="R62" t="str">
        <x:v>기존 Excel 대응</x:v>
      </x:c>
      <x:c r="S62" t="str"/>
    </x:row>
    <x:row r="63" ht="15" hidden="0" customHeight="1">
      <x:c r="A63" t="str">
        <x:v>FREE1_1H_R1</x:v>
      </x:c>
      <x:c r="B63" t="str">
        <x:v>일반</x:v>
      </x:c>
      <x:c r="C63" t="str">
        <x:v>오픈열람실2</x:v>
      </x:c>
      <x:c r="D63" t="str">
        <x:v>자유열람실1 AP</x:v>
      </x:c>
      <x:c r="E63" t="str">
        <x:v>고정</x:v>
      </x:c>
      <x:c r="F63" t="n">
        <x:v>60</x:v>
      </x:c>
      <x:c r="G63" t="n">
        <x:v>1</x:v>
      </x:c>
      <x:c r="H63" t="n">
        <x:v>62</x:v>
      </x:c>
      <x:c r="I63" s="62" t="n">
        <x:v>-73</x:v>
      </x:c>
      <x:c r="J63" s="62" t="n">
        <x:v>390</x:v>
      </x:c>
      <x:c r="K63" s="62" t="n">
        <x:v>34</x:v>
      </x:c>
      <x:c r="L63" s="62" t="n">
        <x:v>5</x:v>
      </x:c>
      <x:c r="M63" s="62" t="n">
        <x:v>0</x:v>
      </x:c>
      <x:c r="N63" s="62" t="n">
        <x:v>3.1376</x:v>
      </x:c>
      <x:c r="O63" s="62" t="n">
        <x:v>3.1489</x:v>
      </x:c>
      <x:c r="P63" s="62" t="n">
        <x:f>IF(OR(N63="",O63=""),"",2*N63*O63/(N63+O63))</x:f>
        <x:v>3.143239844110395</x:v>
      </x:c>
      <x:c r="Q63" t="str">
        <x:v>1시간_측정_자유열람실1_오열에서_1.jpg; 1시간_측정_자유열람실1_오열에서_2.jpg</x:v>
      </x:c>
      <x:c r="R63" t="str">
        <x:v>기존 Excel 대응</x:v>
      </x:c>
      <x:c r="S63" t="str"/>
    </x:row>
    <x:row r="64" ht="15" hidden="0" customHeight="1">
      <x:c r="A64" t="str">
        <x:v>FREE1_1H_R1</x:v>
      </x:c>
      <x:c r="B64" t="str">
        <x:v>일반</x:v>
      </x:c>
      <x:c r="C64" t="str">
        <x:v>오픈열람실2</x:v>
      </x:c>
      <x:c r="D64" t="str">
        <x:v>자유열람실1 AP</x:v>
      </x:c>
      <x:c r="E64" t="str">
        <x:v>고정</x:v>
      </x:c>
      <x:c r="F64" t="n">
        <x:v>60</x:v>
      </x:c>
      <x:c r="G64" t="n">
        <x:v>1</x:v>
      </x:c>
      <x:c r="H64" t="n">
        <x:v>63</x:v>
      </x:c>
      <x:c r="I64" s="62" t="n">
        <x:v>-74</x:v>
      </x:c>
      <x:c r="J64" s="62" t="n">
        <x:v>458.75</x:v>
      </x:c>
      <x:c r="K64" s="62" t="n">
        <x:v>20</x:v>
      </x:c>
      <x:c r="L64" s="62" t="n">
        <x:v>4</x:v>
      </x:c>
      <x:c r="M64" s="62" t="n">
        <x:v>0</x:v>
      </x:c>
      <x:c r="N64" s="62" t="n">
        <x:v>5.4428</x:v>
      </x:c>
      <x:c r="O64" s="62" t="n">
        <x:v>4.1842</x:v>
      </x:c>
      <x:c r="P64" s="62" t="n">
        <x:f>IF(OR(N64="",O64=""),"",2*N64*O64/(N64+O64))</x:f>
        <x:v>4.7312275392126315</x:v>
      </x:c>
      <x:c r="Q64" t="str">
        <x:v>1시간_측정_자유열람실1_오열에서_1.jpg; 1시간_측정_자유열람실1_오열에서_2.jpg</x:v>
      </x:c>
      <x:c r="R64" t="str">
        <x:v>기존 Excel 대응</x:v>
      </x:c>
      <x:c r="S64" t="str"/>
    </x:row>
    <x:row r="65" ht="15" hidden="0" customHeight="1">
      <x:c r="A65" t="str">
        <x:v>FREE1_1H_R1</x:v>
      </x:c>
      <x:c r="B65" t="str">
        <x:v>일반</x:v>
      </x:c>
      <x:c r="C65" t="str">
        <x:v>오픈열람실2</x:v>
      </x:c>
      <x:c r="D65" t="str">
        <x:v>자유열람실1 AP</x:v>
      </x:c>
      <x:c r="E65" t="str">
        <x:v>고정</x:v>
      </x:c>
      <x:c r="F65" t="n">
        <x:v>60</x:v>
      </x:c>
      <x:c r="G65" t="n">
        <x:v>1</x:v>
      </x:c>
      <x:c r="H65" t="n">
        <x:v>64</x:v>
      </x:c>
      <x:c r="I65" s="62" t="n">
        <x:v>-71</x:v>
      </x:c>
      <x:c r="J65" s="62" t="n">
        <x:v>424.25</x:v>
      </x:c>
      <x:c r="K65" s="62" t="n">
        <x:v>17</x:v>
      </x:c>
      <x:c r="L65" s="62" t="n">
        <x:v>7</x:v>
      </x:c>
      <x:c r="M65" s="62" t="n">
        <x:v>0</x:v>
      </x:c>
      <x:c r="N65" s="62" t="n">
        <x:v>4.8081</x:v>
      </x:c>
      <x:c r="O65" s="62" t="n">
        <x:v>2.7194</x:v>
      </x:c>
      <x:c r="P65" s="62" t="n">
        <x:f>IF(OR(N65="",O65=""),"",2*N65*O65/(N65+O65))</x:f>
        <x:v>3.4739680212553967</x:v>
      </x:c>
      <x:c r="Q65" t="str">
        <x:v>1시간_측정_자유열람실1_오열에서_1.jpg; 1시간_측정_자유열람실1_오열에서_2.jpg</x:v>
      </x:c>
      <x:c r="R65" t="str">
        <x:v>기존 Excel 대응</x:v>
      </x:c>
      <x:c r="S65" t="str"/>
    </x:row>
    <x:row r="66" ht="15" hidden="0" customHeight="1">
      <x:c r="A66" t="str">
        <x:v>FREE1_1H_R1</x:v>
      </x:c>
      <x:c r="B66" t="str">
        <x:v>일반</x:v>
      </x:c>
      <x:c r="C66" t="str">
        <x:v>오픈열람실2</x:v>
      </x:c>
      <x:c r="D66" t="str">
        <x:v>자유열람실1 AP</x:v>
      </x:c>
      <x:c r="E66" t="str">
        <x:v>고정</x:v>
      </x:c>
      <x:c r="F66" t="n">
        <x:v>60</x:v>
      </x:c>
      <x:c r="G66" t="n">
        <x:v>1</x:v>
      </x:c>
      <x:c r="H66" t="n">
        <x:v>65</x:v>
      </x:c>
      <x:c r="I66" s="62" t="n">
        <x:v>-71</x:v>
      </x:c>
      <x:c r="J66" s="62" t="n">
        <x:v>390</x:v>
      </x:c>
      <x:c r="K66" s="62" t="n">
        <x:v>28</x:v>
      </x:c>
      <x:c r="L66" s="62" t="n">
        <x:v>7</x:v>
      </x:c>
      <x:c r="M66" s="62" t="n">
        <x:v>0</x:v>
      </x:c>
      <x:c r="N66" s="62" t="n">
        <x:v>6.0615</x:v>
      </x:c>
      <x:c r="O66" s="62" t="n">
        <x:v>2.2948</x:v>
      </x:c>
      <x:c r="P66" s="62" t="n">
        <x:f>IF(OR(N66="",O66=""),"",2*N66*O66/(N66+O66))</x:f>
        <x:v>3.329207950887355</x:v>
      </x:c>
      <x:c r="Q66" t="str">
        <x:v>1시간_측정_자유열람실1_오열에서_1.jpg; 1시간_측정_자유열람실1_오열에서_2.jpg</x:v>
      </x:c>
      <x:c r="R66" t="str">
        <x:v>기존 Excel 대응</x:v>
      </x:c>
      <x:c r="S66" t="str"/>
    </x:row>
    <x:row r="67" ht="15" hidden="0" customHeight="1">
      <x:c r="A67" t="str">
        <x:v>FREE1_1H_R1</x:v>
      </x:c>
      <x:c r="B67" t="str">
        <x:v>일반</x:v>
      </x:c>
      <x:c r="C67" t="str">
        <x:v>오픈열람실2</x:v>
      </x:c>
      <x:c r="D67" t="str">
        <x:v>자유열람실1 AP</x:v>
      </x:c>
      <x:c r="E67" t="str">
        <x:v>고정</x:v>
      </x:c>
      <x:c r="F67" t="n">
        <x:v>60</x:v>
      </x:c>
      <x:c r="G67" t="n">
        <x:v>1</x:v>
      </x:c>
      <x:c r="H67" t="n">
        <x:v>66</x:v>
      </x:c>
      <x:c r="I67" s="62" t="n">
        <x:v>-75</x:v>
      </x:c>
      <x:c r="J67" s="62" t="n">
        <x:v>390</x:v>
      </x:c>
      <x:c r="K67" s="62" t="n">
        <x:v>31</x:v>
      </x:c>
      <x:c r="L67" s="62" t="n">
        <x:v>7</x:v>
      </x:c>
      <x:c r="M67" s="62" t="n">
        <x:v>0</x:v>
      </x:c>
      <x:c r="N67" s="62" t="n">
        <x:v>5.8619</x:v>
      </x:c>
      <x:c r="O67" s="62" t="n">
        <x:v>4.1844</x:v>
      </x:c>
      <x:c r="P67" s="62" t="n">
        <x:f>IF(OR(N67="",O67=""),"",2*N67*O67/(N67+O67))</x:f>
        <x:v>4.883098127668894</x:v>
      </x:c>
      <x:c r="Q67" t="str">
        <x:v>1시간_측정_자유열람실1_오열에서_1.jpg; 1시간_측정_자유열람실1_오열에서_2.jpg</x:v>
      </x:c>
      <x:c r="R67" t="str">
        <x:v>기존 Excel 대응</x:v>
      </x:c>
      <x:c r="S67" t="str"/>
    </x:row>
  </x:sheetData>
  <x:pageMargins left="0.7" right="0.7" top="0.75" bottom="0.75" header="0.3" footer="0.3"/>
  <x:tableParts count="1">
    <x:tablePart xmlns:r="http://schemas.openxmlformats.org/officeDocument/2006/relationships" r:id="Re478e21efb4942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20" hidden="0" customWidth="1"/>
    <x:col min="5" max="5" width="12" hidden="0" customWidth="1"/>
    <x:col min="6" max="6" width="12" hidden="0" customWidth="1"/>
    <x:col min="7" max="7" width="9" hidden="0" customWidth="1"/>
    <x:col min="8" max="8" width="14" hidden="0" customWidth="1"/>
    <x:col min="9" max="9" width="12" hidden="0" customWidth="1"/>
    <x:col min="10" max="10" width="12" hidden="0" customWidth="1"/>
    <x:col min="11" max="11" width="13" hidden="0" customWidth="1"/>
    <x:col min="12" max="12" width="12" hidden="0" customWidth="1"/>
    <x:col min="13" max="13" width="18" hidden="0" customWidth="1"/>
    <x:col min="14" max="14" width="14" hidden="0" customWidth="1"/>
    <x:col min="15" max="15" width="16" hidden="0" customWidth="1"/>
    <x:col min="16" max="16" width="17" hidden="0" customWidth="1"/>
    <x:col min="17" max="17" width="42" hidden="0" customWidth="1"/>
    <x:col min="18" max="18" width="22" hidden="0" customWidth="1"/>
    <x:col min="19" max="19" width="34" hidden="0" customWidth="1"/>
  </x:cols>
  <x:sheetData>
    <x:row r="1" ht="15" hidden="0" customHeight="1">
      <x:c r="A1" s="6" t="str">
        <x:v>측정세트_ID</x:v>
      </x:c>
      <x:c r="B1" s="6" t="str">
        <x:v>상태</x:v>
      </x:c>
      <x:c r="C1" s="6" t="str">
        <x:v>측정 위치</x:v>
      </x:c>
      <x:c r="D1" s="6" t="str">
        <x:v>대상 AP 구역</x:v>
      </x:c>
      <x:c r="E1" s="6" t="str">
        <x:v>측정 형태</x:v>
      </x:c>
      <x:c r="F1" s="6" t="str">
        <x:v>측정시간_min</x:v>
      </x:c>
      <x:c r="G1" s="6" t="str">
        <x:v>반복</x:v>
      </x:c>
      <x:c r="H1" s="6" t="str">
        <x:v>세트내_측정번호</x:v>
      </x:c>
      <x:c r="I1" s="6" t="str">
        <x:v>RSSI_dBm</x:v>
      </x:c>
      <x:c r="J1" s="6" t="str">
        <x:v>Link_Mbps</x:v>
      </x:c>
      <x:c r="K1" s="6" t="str">
        <x:v>UTIL_percent</x:v>
      </x:c>
      <x:c r="L1" s="6" t="str">
        <x:v>RTT_ms</x:v>
      </x:c>
      <x:c r="M1" s="6" t="str">
        <x:v>PacketLoss_percent</x:v>
      </x:c>
      <x:c r="N1" s="6" t="str">
        <x:v>Upload_Mbps</x:v>
      </x:c>
      <x:c r="O1" s="6" t="str">
        <x:v>Download_Mbps</x:v>
      </x:c>
      <x:c r="P1" s="6" t="str">
        <x:v>Effective_Mbps</x:v>
      </x:c>
      <x:c r="Q1" s="6" t="str">
        <x:v>원본 이미지</x:v>
      </x:c>
      <x:c r="R1" s="6" t="str">
        <x:v>데이터 출처</x:v>
      </x:c>
      <x:c r="S1" s="6" t="str">
        <x:v>검토 메모</x:v>
      </x:c>
    </x:row>
    <x:row r="2" ht="15" hidden="0" customHeight="1">
      <x:c r="A2" t="str">
        <x:v>FREE1_1H_R2</x:v>
      </x:c>
      <x:c r="B2" t="str">
        <x:v>일반</x:v>
      </x:c>
      <x:c r="C2" t="str">
        <x:v>오픈열람실2</x:v>
      </x:c>
      <x:c r="D2" t="str">
        <x:v>자유열람실1 AP</x:v>
      </x:c>
      <x:c r="E2" t="str">
        <x:v>고정</x:v>
      </x:c>
      <x:c r="F2" t="n">
        <x:v>60</x:v>
      </x:c>
      <x:c r="G2" t="n">
        <x:v>2</x:v>
      </x:c>
      <x:c r="H2" t="n">
        <x:v>1</x:v>
      </x:c>
      <x:c r="I2" s="62" t="n">
        <x:v>-76</x:v>
      </x:c>
      <x:c r="J2" s="62" t="n">
        <x:v>458.75</x:v>
      </x:c>
      <x:c r="K2" s="62" t="n">
        <x:v>76</x:v>
      </x:c>
      <x:c r="L2" s="62" t="n">
        <x:v>36</x:v>
      </x:c>
      <x:c r="M2" s="62" t="n">
        <x:v>20</x:v>
      </x:c>
      <x:c r="N2" s="62" t="n">
        <x:v>0.9638</x:v>
      </x:c>
      <x:c r="O2" s="62" t="n">
        <x:v>1.3479</x:v>
      </x:c>
      <x:c r="P2" s="62" t="n">
        <x:f>IF(OR(N2="",O2=""),"",2*N2*O2/(N2+O2))</x:f>
        <x:v>1.1239399749102392</x:v>
      </x:c>
      <x:c r="Q2" t="str">
        <x:v>1시간_측정_자유열람실1_오열에서_3.jpg; 1시간_측정_자유열람실1_오열에서_4.jpg</x:v>
      </x:c>
      <x:c r="R2" t="str">
        <x:v>기존 Excel 대응</x:v>
      </x:c>
      <x:c r="S2" t="str"/>
    </x:row>
    <x:row r="3" ht="15" hidden="0" customHeight="1">
      <x:c r="A3" t="str">
        <x:v>FREE1_1H_R2</x:v>
      </x:c>
      <x:c r="B3" t="str">
        <x:v>일반</x:v>
      </x:c>
      <x:c r="C3" t="str">
        <x:v>오픈열람실2</x:v>
      </x:c>
      <x:c r="D3" t="str">
        <x:v>자유열람실1 AP</x:v>
      </x:c>
      <x:c r="E3" t="str">
        <x:v>고정</x:v>
      </x:c>
      <x:c r="F3" t="n">
        <x:v>60</x:v>
      </x:c>
      <x:c r="G3" t="n">
        <x:v>2</x:v>
      </x:c>
      <x:c r="H3" t="n">
        <x:v>2</x:v>
      </x:c>
      <x:c r="I3" s="62" t="n">
        <x:v>-76</x:v>
      </x:c>
      <x:c r="J3" s="62" t="n">
        <x:v>458.75</x:v>
      </x:c>
      <x:c r="K3" s="62" t="n">
        <x:v>18</x:v>
      </x:c>
      <x:c r="L3" s="62" t="n">
        <x:v>4</x:v>
      </x:c>
      <x:c r="M3" s="62" t="n">
        <x:v>0</x:v>
      </x:c>
      <x:c r="N3" s="62" t="n">
        <x:v>9.8408</x:v>
      </x:c>
      <x:c r="O3" s="62" t="n">
        <x:v>5.2326</x:v>
      </x:c>
      <x:c r="P3" s="62" t="n">
        <x:f>IF(OR(N3="",O3=""),"",2*N3*O3/(N3+O3))</x:f>
        <x:v>6.832296639112609</x:v>
      </x:c>
      <x:c r="Q3" t="str">
        <x:v>1시간_측정_자유열람실1_오열에서_3.jpg; 1시간_측정_자유열람실1_오열에서_4.jpg</x:v>
      </x:c>
      <x:c r="R3" t="str">
        <x:v>기존 Excel 대응</x:v>
      </x:c>
      <x:c r="S3" t="str"/>
    </x:row>
    <x:row r="4" ht="15" hidden="0" customHeight="1">
      <x:c r="A4" t="str">
        <x:v>FREE1_1H_R2</x:v>
      </x:c>
      <x:c r="B4" t="str">
        <x:v>일반</x:v>
      </x:c>
      <x:c r="C4" t="str">
        <x:v>오픈열람실2</x:v>
      </x:c>
      <x:c r="D4" t="str">
        <x:v>자유열람실1 AP</x:v>
      </x:c>
      <x:c r="E4" t="str">
        <x:v>고정</x:v>
      </x:c>
      <x:c r="F4" t="n">
        <x:v>60</x:v>
      </x:c>
      <x:c r="G4" t="n">
        <x:v>2</x:v>
      </x:c>
      <x:c r="H4" t="n">
        <x:v>3</x:v>
      </x:c>
      <x:c r="I4" s="62" t="n">
        <x:v>-75</x:v>
      </x:c>
      <x:c r="J4" s="62" t="n">
        <x:v>390</x:v>
      </x:c>
      <x:c r="K4" s="62" t="n">
        <x:v>29</x:v>
      </x:c>
      <x:c r="L4" s="62" t="n">
        <x:v>3</x:v>
      </x:c>
      <x:c r="M4" s="62" t="n">
        <x:v>0</x:v>
      </x:c>
      <x:c r="N4" s="62" t="n">
        <x:v>9.424</x:v>
      </x:c>
      <x:c r="O4" s="62" t="n">
        <x:v>4.609</x:v>
      </x:c>
      <x:c r="P4" s="62" t="n">
        <x:f>IF(OR(N4="",O4=""),"",2*N4*O4/(N4+O4))</x:f>
        <x:v>6.190439107817288</x:v>
      </x:c>
      <x:c r="Q4" t="str">
        <x:v>1시간_측정_자유열람실1_오열에서_3.jpg; 1시간_측정_자유열람실1_오열에서_4.jpg</x:v>
      </x:c>
      <x:c r="R4" t="str">
        <x:v>기존 Excel 대응</x:v>
      </x:c>
      <x:c r="S4" t="str"/>
    </x:row>
    <x:row r="5" ht="15" hidden="0" customHeight="1">
      <x:c r="A5" t="str">
        <x:v>FREE1_1H_R2</x:v>
      </x:c>
      <x:c r="B5" t="str">
        <x:v>일반</x:v>
      </x:c>
      <x:c r="C5" t="str">
        <x:v>오픈열람실2</x:v>
      </x:c>
      <x:c r="D5" t="str">
        <x:v>자유열람실1 AP</x:v>
      </x:c>
      <x:c r="E5" t="str">
        <x:v>고정</x:v>
      </x:c>
      <x:c r="F5" t="n">
        <x:v>60</x:v>
      </x:c>
      <x:c r="G5" t="n">
        <x:v>2</x:v>
      </x:c>
      <x:c r="H5" t="n">
        <x:v>4</x:v>
      </x:c>
      <x:c r="I5" s="62" t="n">
        <x:v>-75</x:v>
      </x:c>
      <x:c r="J5" s="62" t="n">
        <x:v>390</x:v>
      </x:c>
      <x:c r="K5" s="62" t="n">
        <x:v>19</x:v>
      </x:c>
      <x:c r="L5" s="62" t="n">
        <x:v>10</x:v>
      </x:c>
      <x:c r="M5" s="62" t="n">
        <x:v>0</x:v>
      </x:c>
      <x:c r="N5" s="62" t="n">
        <x:v>5.8563</x:v>
      </x:c>
      <x:c r="O5" s="62" t="n">
        <x:v>5.6587</x:v>
      </x:c>
      <x:c r="P5" s="62" t="n">
        <x:f>IF(OR(N5="",O5=""),"",2*N5*O5/(N5+O5))</x:f>
        <x:v>5.755804569691707</x:v>
      </x:c>
      <x:c r="Q5" t="str">
        <x:v>1시간_측정_자유열람실1_오열에서_3.jpg; 1시간_측정_자유열람실1_오열에서_4.jpg</x:v>
      </x:c>
      <x:c r="R5" t="str">
        <x:v>기존 Excel 대응</x:v>
      </x:c>
      <x:c r="S5" t="str"/>
    </x:row>
    <x:row r="6" ht="15" hidden="0" customHeight="1">
      <x:c r="A6" t="str">
        <x:v>FREE1_1H_R2</x:v>
      </x:c>
      <x:c r="B6" t="str">
        <x:v>일반</x:v>
      </x:c>
      <x:c r="C6" t="str">
        <x:v>오픈열람실2</x:v>
      </x:c>
      <x:c r="D6" t="str">
        <x:v>자유열람실1 AP</x:v>
      </x:c>
      <x:c r="E6" t="str">
        <x:v>고정</x:v>
      </x:c>
      <x:c r="F6" t="n">
        <x:v>60</x:v>
      </x:c>
      <x:c r="G6" t="n">
        <x:v>2</x:v>
      </x:c>
      <x:c r="H6" t="n">
        <x:v>5</x:v>
      </x:c>
      <x:c r="I6" s="62" t="n">
        <x:v>-72</x:v>
      </x:c>
      <x:c r="J6" s="62" t="n">
        <x:v>390</x:v>
      </x:c>
      <x:c r="K6" s="62" t="n">
        <x:v>35</x:v>
      </x:c>
      <x:c r="L6" s="62" t="n">
        <x:v>8</x:v>
      </x:c>
      <x:c r="M6" s="62" t="n">
        <x:v>0</x:v>
      </x:c>
      <x:c r="N6" s="62" t="n">
        <x:v>9.6316</x:v>
      </x:c>
      <x:c r="O6" s="62" t="n">
        <x:v>8.5853</x:v>
      </x:c>
      <x:c r="P6" s="62" t="n">
        <x:f>IF(OR(N6="",O6=""),"",2*N6*O6/(N6+O6))</x:f>
        <x:v>9.078402525127766</x:v>
      </x:c>
      <x:c r="Q6" t="str">
        <x:v>1시간_측정_자유열람실1_오열에서_3.jpg; 1시간_측정_자유열람실1_오열에서_4.jpg</x:v>
      </x:c>
      <x:c r="R6" t="str">
        <x:v>기존 Excel 대응</x:v>
      </x:c>
      <x:c r="S6" t="str"/>
    </x:row>
    <x:row r="7" ht="15" hidden="0" customHeight="1">
      <x:c r="A7" t="str">
        <x:v>FREE1_1H_R2</x:v>
      </x:c>
      <x:c r="B7" t="str">
        <x:v>일반</x:v>
      </x:c>
      <x:c r="C7" t="str">
        <x:v>오픈열람실2</x:v>
      </x:c>
      <x:c r="D7" t="str">
        <x:v>자유열람실1 AP</x:v>
      </x:c>
      <x:c r="E7" t="str">
        <x:v>고정</x:v>
      </x:c>
      <x:c r="F7" t="n">
        <x:v>60</x:v>
      </x:c>
      <x:c r="G7" t="n">
        <x:v>2</x:v>
      </x:c>
      <x:c r="H7" t="n">
        <x:v>6</x:v>
      </x:c>
      <x:c r="I7" s="62" t="n">
        <x:v>-77</x:v>
      </x:c>
      <x:c r="J7" s="62" t="n">
        <x:v>390</x:v>
      </x:c>
      <x:c r="K7" s="62" t="n">
        <x:v>16</x:v>
      </x:c>
      <x:c r="L7" s="62" t="n">
        <x:v>4</x:v>
      </x:c>
      <x:c r="M7" s="62" t="n">
        <x:v>0</x:v>
      </x:c>
      <x:c r="N7" s="62" t="n">
        <x:v>10.0419</x:v>
      </x:c>
      <x:c r="O7" s="62" t="n">
        <x:v>4.821</x:v>
      </x:c>
      <x:c r="P7" s="62" t="n">
        <x:f>IF(OR(N7="",O7=""),"",2*N7*O7/(N7+O7))</x:f>
        <x:v>6.514475627232908</x:v>
      </x:c>
      <x:c r="Q7" t="str">
        <x:v>1시간_측정_자유열람실1_오열에서_3.jpg; 1시간_측정_자유열람실1_오열에서_4.jpg</x:v>
      </x:c>
      <x:c r="R7" t="str">
        <x:v>기존 Excel 대응</x:v>
      </x:c>
      <x:c r="S7" t="str"/>
    </x:row>
    <x:row r="8" ht="15" hidden="0" customHeight="1">
      <x:c r="A8" t="str">
        <x:v>FREE1_1H_R2</x:v>
      </x:c>
      <x:c r="B8" t="str">
        <x:v>일반</x:v>
      </x:c>
      <x:c r="C8" t="str">
        <x:v>오픈열람실2</x:v>
      </x:c>
      <x:c r="D8" t="str">
        <x:v>자유열람실1 AP</x:v>
      </x:c>
      <x:c r="E8" t="str">
        <x:v>고정</x:v>
      </x:c>
      <x:c r="F8" t="n">
        <x:v>60</x:v>
      </x:c>
      <x:c r="G8" t="n">
        <x:v>2</x:v>
      </x:c>
      <x:c r="H8" t="n">
        <x:v>7</x:v>
      </x:c>
      <x:c r="I8" s="62" t="n">
        <x:v>-75</x:v>
      </x:c>
      <x:c r="J8" s="62" t="n">
        <x:v>390</x:v>
      </x:c>
      <x:c r="K8" s="62" t="n">
        <x:v>19</x:v>
      </x:c>
      <x:c r="L8" s="62" t="n">
        <x:v>5</x:v>
      </x:c>
      <x:c r="M8" s="62" t="n">
        <x:v>0</x:v>
      </x:c>
      <x:c r="N8" s="62" t="n">
        <x:v>9.0034</x:v>
      </x:c>
      <x:c r="O8" s="62" t="n">
        <x:v>3.7578</x:v>
      </x:c>
      <x:c r="P8" s="62" t="n">
        <x:f>IF(OR(N8="",O8=""),"",2*N8*O8/(N8+O8))</x:f>
        <x:v>5.3024757107482055</x:v>
      </x:c>
      <x:c r="Q8" t="str">
        <x:v>1시간_측정_자유열람실1_오열에서_3.jpg; 1시간_측정_자유열람실1_오열에서_4.jpg</x:v>
      </x:c>
      <x:c r="R8" t="str">
        <x:v>기존 Excel 대응</x:v>
      </x:c>
      <x:c r="S8" t="str"/>
    </x:row>
    <x:row r="9" ht="15" hidden="0" customHeight="1">
      <x:c r="A9" t="str">
        <x:v>FREE1_1H_R2</x:v>
      </x:c>
      <x:c r="B9" t="str">
        <x:v>일반</x:v>
      </x:c>
      <x:c r="C9" t="str">
        <x:v>오픈열람실2</x:v>
      </x:c>
      <x:c r="D9" t="str">
        <x:v>자유열람실1 AP</x:v>
      </x:c>
      <x:c r="E9" t="str">
        <x:v>고정</x:v>
      </x:c>
      <x:c r="F9" t="n">
        <x:v>60</x:v>
      </x:c>
      <x:c r="G9" t="n">
        <x:v>2</x:v>
      </x:c>
      <x:c r="H9" t="n">
        <x:v>8</x:v>
      </x:c>
      <x:c r="I9" s="62" t="n">
        <x:v>-73</x:v>
      </x:c>
      <x:c r="J9" s="62" t="n">
        <x:v>390</x:v>
      </x:c>
      <x:c r="K9" s="62" t="n">
        <x:v>23</x:v>
      </x:c>
      <x:c r="L9" s="62" t="n">
        <x:v>8</x:v>
      </x:c>
      <x:c r="M9" s="62" t="n">
        <x:v>0</x:v>
      </x:c>
      <x:c r="N9" s="62" t="n">
        <x:v>12.9884</x:v>
      </x:c>
      <x:c r="O9" s="62" t="n">
        <x:v>5.6659</x:v>
      </x:c>
      <x:c r="P9" s="62" t="n">
        <x:f>IF(OR(N9="",O9=""),"",2*N9*O9/(N9+O9))</x:f>
        <x:v>7.8899744895278845</x:v>
      </x:c>
      <x:c r="Q9" t="str">
        <x:v>1시간_측정_자유열람실1_오열에서_3.jpg; 1시간_측정_자유열람실1_오열에서_4.jpg</x:v>
      </x:c>
      <x:c r="R9" t="str">
        <x:v>기존 Excel 대응</x:v>
      </x:c>
      <x:c r="S9" t="str"/>
    </x:row>
    <x:row r="10" ht="15" hidden="0" customHeight="1">
      <x:c r="A10" t="str">
        <x:v>FREE1_1H_R2</x:v>
      </x:c>
      <x:c r="B10" t="str">
        <x:v>일반</x:v>
      </x:c>
      <x:c r="C10" t="str">
        <x:v>오픈열람실2</x:v>
      </x:c>
      <x:c r="D10" t="str">
        <x:v>자유열람실1 AP</x:v>
      </x:c>
      <x:c r="E10" t="str">
        <x:v>고정</x:v>
      </x:c>
      <x:c r="F10" t="n">
        <x:v>60</x:v>
      </x:c>
      <x:c r="G10" t="n">
        <x:v>2</x:v>
      </x:c>
      <x:c r="H10" t="n">
        <x:v>9</x:v>
      </x:c>
      <x:c r="I10" s="62" t="n">
        <x:v>-71</x:v>
      </x:c>
      <x:c r="J10" s="62" t="n">
        <x:v>424.25</x:v>
      </x:c>
      <x:c r="K10" s="62" t="n">
        <x:v>12</x:v>
      </x:c>
      <x:c r="L10" s="62" t="n">
        <x:v>5</x:v>
      </x:c>
      <x:c r="M10" s="62" t="n">
        <x:v>0</x:v>
      </x:c>
      <x:c r="N10" s="62" t="n">
        <x:v>13.3619</x:v>
      </x:c>
      <x:c r="O10" s="62" t="n">
        <x:v>6.4806</x:v>
      </x:c>
      <x:c r="P10" s="62" t="n">
        <x:f>IF(OR(N10="",O10=""),"",2*N10*O10/(N10+O10))</x:f>
        <x:v>8.728046278442736</x:v>
      </x:c>
      <x:c r="Q10" t="str">
        <x:v>1시간_측정_자유열람실1_오열에서_3.jpg; 1시간_측정_자유열람실1_오열에서_4.jpg</x:v>
      </x:c>
      <x:c r="R10" t="str">
        <x:v>기존 Excel 대응</x:v>
      </x:c>
      <x:c r="S10" t="str"/>
    </x:row>
    <x:row r="11" ht="15" hidden="0" customHeight="1">
      <x:c r="A11" t="str">
        <x:v>FREE1_1H_R2</x:v>
      </x:c>
      <x:c r="B11" t="str">
        <x:v>일반</x:v>
      </x:c>
      <x:c r="C11" t="str">
        <x:v>오픈열람실2</x:v>
      </x:c>
      <x:c r="D11" t="str">
        <x:v>자유열람실1 AP</x:v>
      </x:c>
      <x:c r="E11" t="str">
        <x:v>고정</x:v>
      </x:c>
      <x:c r="F11" t="n">
        <x:v>60</x:v>
      </x:c>
      <x:c r="G11" t="n">
        <x:v>2</x:v>
      </x:c>
      <x:c r="H11" t="n">
        <x:v>10</x:v>
      </x:c>
      <x:c r="I11" s="62" t="n">
        <x:v>-75</x:v>
      </x:c>
      <x:c r="J11" s="62" t="n">
        <x:v>390</x:v>
      </x:c>
      <x:c r="K11" s="62" t="n">
        <x:v>16</x:v>
      </x:c>
      <x:c r="L11" s="62" t="n">
        <x:v>4</x:v>
      </x:c>
      <x:c r="M11" s="62" t="n">
        <x:v>0</x:v>
      </x:c>
      <x:c r="N11" s="62" t="n">
        <x:v>11.7155</x:v>
      </x:c>
      <x:c r="O11" s="62" t="n">
        <x:v>6.4962</x:v>
      </x:c>
      <x:c r="P11" s="62" t="n">
        <x:f>IF(OR(N11="",O11=""),"",2*N11*O11/(N11+O11))</x:f>
        <x:v>8.357949131602211</x:v>
      </x:c>
      <x:c r="Q11" t="str">
        <x:v>1시간_측정_자유열람실1_오열에서_3.jpg; 1시간_측정_자유열람실1_오열에서_4.jpg</x:v>
      </x:c>
      <x:c r="R11" t="str">
        <x:v>기존 Excel 대응</x:v>
      </x:c>
      <x:c r="S11" t="str"/>
    </x:row>
    <x:row r="12" ht="15" hidden="0" customHeight="1">
      <x:c r="A12" t="str">
        <x:v>FREE1_1H_R2</x:v>
      </x:c>
      <x:c r="B12" t="str">
        <x:v>일반</x:v>
      </x:c>
      <x:c r="C12" t="str">
        <x:v>오픈열람실2</x:v>
      </x:c>
      <x:c r="D12" t="str">
        <x:v>자유열람실1 AP</x:v>
      </x:c>
      <x:c r="E12" t="str">
        <x:v>고정</x:v>
      </x:c>
      <x:c r="F12" t="n">
        <x:v>60</x:v>
      </x:c>
      <x:c r="G12" t="n">
        <x:v>2</x:v>
      </x:c>
      <x:c r="H12" t="n">
        <x:v>11</x:v>
      </x:c>
      <x:c r="I12" s="62" t="n">
        <x:v>-71</x:v>
      </x:c>
      <x:c r="J12" s="62" t="n">
        <x:v>424.25</x:v>
      </x:c>
      <x:c r="K12" s="62" t="n">
        <x:v>6</x:v>
      </x:c>
      <x:c r="L12" s="62" t="n">
        <x:v>3</x:v>
      </x:c>
      <x:c r="M12" s="62" t="n">
        <x:v>0</x:v>
      </x:c>
      <x:c r="N12" s="62" t="n">
        <x:v>12.7645</x:v>
      </x:c>
      <x:c r="O12" s="62" t="n">
        <x:v>9.0028</x:v>
      </x:c>
      <x:c r="P12" s="62" t="n">
        <x:f>IF(OR(N12="",O12=""),"",2*N12*O12/(N12+O12))</x:f>
        <x:v>10.55861228540058</x:v>
      </x:c>
      <x:c r="Q12" t="str">
        <x:v>1시간_측정_자유열람실1_오열에서_3.jpg; 1시간_측정_자유열람실1_오열에서_4.jpg</x:v>
      </x:c>
      <x:c r="R12" t="str">
        <x:v>기존 Excel 대응</x:v>
      </x:c>
      <x:c r="S12" t="str"/>
    </x:row>
    <x:row r="13" ht="15" hidden="0" customHeight="1">
      <x:c r="A13" t="str">
        <x:v>FREE1_1H_R2</x:v>
      </x:c>
      <x:c r="B13" t="str">
        <x:v>일반</x:v>
      </x:c>
      <x:c r="C13" t="str">
        <x:v>오픈열람실2</x:v>
      </x:c>
      <x:c r="D13" t="str">
        <x:v>자유열람실1 AP</x:v>
      </x:c>
      <x:c r="E13" t="str">
        <x:v>고정</x:v>
      </x:c>
      <x:c r="F13" t="n">
        <x:v>60</x:v>
      </x:c>
      <x:c r="G13" t="n">
        <x:v>2</x:v>
      </x:c>
      <x:c r="H13" t="n">
        <x:v>12</x:v>
      </x:c>
      <x:c r="I13" s="62" t="n">
        <x:v>-73</x:v>
      </x:c>
      <x:c r="J13" s="62" t="n">
        <x:v>390</x:v>
      </x:c>
      <x:c r="K13" s="62" t="n">
        <x:v>19</x:v>
      </x:c>
      <x:c r="L13" s="62" t="n">
        <x:v>4</x:v>
      </x:c>
      <x:c r="M13" s="62" t="n">
        <x:v>0</x:v>
      </x:c>
      <x:c r="N13" s="62" t="n">
        <x:v>9.8371</x:v>
      </x:c>
      <x:c r="O13" s="62" t="n">
        <x:v>9.2102</x:v>
      </x:c>
      <x:c r="P13" s="62" t="n">
        <x:f>IF(OR(N13="",O13=""),"",2*N13*O13/(N13+O13))</x:f>
        <x:v>9.51333348243583</x:v>
      </x:c>
      <x:c r="Q13" t="str">
        <x:v>1시간_측정_자유열람실1_오열에서_3.jpg; 1시간_측정_자유열람실1_오열에서_4.jpg</x:v>
      </x:c>
      <x:c r="R13" t="str">
        <x:v>기존 Excel 대응</x:v>
      </x:c>
      <x:c r="S13" t="str"/>
    </x:row>
    <x:row r="14" ht="15" hidden="0" customHeight="1">
      <x:c r="A14" t="str">
        <x:v>FREE1_1H_R2</x:v>
      </x:c>
      <x:c r="B14" t="str">
        <x:v>일반</x:v>
      </x:c>
      <x:c r="C14" t="str">
        <x:v>오픈열람실2</x:v>
      </x:c>
      <x:c r="D14" t="str">
        <x:v>자유열람실1 AP</x:v>
      </x:c>
      <x:c r="E14" t="str">
        <x:v>고정</x:v>
      </x:c>
      <x:c r="F14" t="n">
        <x:v>60</x:v>
      </x:c>
      <x:c r="G14" t="n">
        <x:v>2</x:v>
      </x:c>
      <x:c r="H14" t="n">
        <x:v>13</x:v>
      </x:c>
      <x:c r="I14" s="62" t="n">
        <x:v>-74</x:v>
      </x:c>
      <x:c r="J14" s="62" t="n">
        <x:v>390</x:v>
      </x:c>
      <x:c r="K14" s="62" t="n">
        <x:v>8</x:v>
      </x:c>
      <x:c r="L14" s="62" t="n">
        <x:v>4</x:v>
      </x:c>
      <x:c r="M14" s="62" t="n">
        <x:v>0</x:v>
      </x:c>
      <x:c r="N14" s="62" t="n">
        <x:v>9.4265</x:v>
      </x:c>
      <x:c r="O14" s="62" t="n">
        <x:v>8.1711</x:v>
      </x:c>
      <x:c r="P14" s="62" t="n">
        <x:f>IF(OR(N14="",O14=""),"",2*N14*O14/(N14+O14))</x:f>
        <x:v>8.754020338000636</x:v>
      </x:c>
      <x:c r="Q14" t="str">
        <x:v>1시간_측정_자유열람실1_오열에서_3.jpg; 1시간_측정_자유열람실1_오열에서_4.jpg</x:v>
      </x:c>
      <x:c r="R14" t="str">
        <x:v>기존 Excel 대응</x:v>
      </x:c>
      <x:c r="S14" t="str"/>
    </x:row>
    <x:row r="15" ht="15" hidden="0" customHeight="1">
      <x:c r="A15" t="str">
        <x:v>FREE1_1H_R2</x:v>
      </x:c>
      <x:c r="B15" t="str">
        <x:v>일반</x:v>
      </x:c>
      <x:c r="C15" t="str">
        <x:v>오픈열람실2</x:v>
      </x:c>
      <x:c r="D15" t="str">
        <x:v>자유열람실1 AP</x:v>
      </x:c>
      <x:c r="E15" t="str">
        <x:v>고정</x:v>
      </x:c>
      <x:c r="F15" t="n">
        <x:v>60</x:v>
      </x:c>
      <x:c r="G15" t="n">
        <x:v>2</x:v>
      </x:c>
      <x:c r="H15" t="n">
        <x:v>14</x:v>
      </x:c>
      <x:c r="I15" s="62" t="n">
        <x:v>-76</x:v>
      </x:c>
      <x:c r="J15" s="62" t="n">
        <x:v>390</x:v>
      </x:c>
      <x:c r="K15" s="62" t="n">
        <x:v>8</x:v>
      </x:c>
      <x:c r="L15" s="62" t="n">
        <x:v>4</x:v>
      </x:c>
      <x:c r="M15" s="62" t="n">
        <x:v>0</x:v>
      </x:c>
      <x:c r="N15" s="62" t="n">
        <x:v>7.9403</x:v>
      </x:c>
      <x:c r="O15" s="62" t="n">
        <x:v>6.2744</x:v>
      </x:c>
      <x:c r="P15" s="62" t="n">
        <x:f>IF(OR(N15="",O15=""),"",2*N15*O15/(N15+O15))</x:f>
        <x:v>7.009731942285099</x:v>
      </x:c>
      <x:c r="Q15" t="str">
        <x:v>1시간_측정_자유열람실1_오열에서_3.jpg; 1시간_측정_자유열람실1_오열에서_4.jpg</x:v>
      </x:c>
      <x:c r="R15" t="str">
        <x:v>기존 Excel 대응</x:v>
      </x:c>
      <x:c r="S15" t="str"/>
    </x:row>
    <x:row r="16" ht="15" hidden="0" customHeight="1">
      <x:c r="A16" t="str">
        <x:v>FREE1_1H_R2</x:v>
      </x:c>
      <x:c r="B16" t="str">
        <x:v>일반</x:v>
      </x:c>
      <x:c r="C16" t="str">
        <x:v>오픈열람실2</x:v>
      </x:c>
      <x:c r="D16" t="str">
        <x:v>자유열람실1 AP</x:v>
      </x:c>
      <x:c r="E16" t="str">
        <x:v>고정</x:v>
      </x:c>
      <x:c r="F16" t="n">
        <x:v>60</x:v>
      </x:c>
      <x:c r="G16" t="n">
        <x:v>2</x:v>
      </x:c>
      <x:c r="H16" t="n">
        <x:v>15</x:v>
      </x:c>
      <x:c r="I16" s="62" t="n">
        <x:v>-74</x:v>
      </x:c>
      <x:c r="J16" s="62" t="n">
        <x:v>390</x:v>
      </x:c>
      <x:c r="K16" s="62" t="n">
        <x:v>16</x:v>
      </x:c>
      <x:c r="L16" s="62" t="n">
        <x:v>3</x:v>
      </x:c>
      <x:c r="M16" s="62" t="n">
        <x:v>0</x:v>
      </x:c>
      <x:c r="N16" s="62" t="n">
        <x:v>12.3512</x:v>
      </x:c>
      <x:c r="O16" s="62" t="n">
        <x:v>6.7001</x:v>
      </x:c>
      <x:c r="P16" s="62" t="n">
        <x:f>IF(OR(N16="",O16=""),"",2*N16*O16/(N16+O16))</x:f>
        <x:v>8.687520024355294</x:v>
      </x:c>
      <x:c r="Q16" t="str">
        <x:v>1시간_측정_자유열람실1_오열에서_3.jpg; 1시간_측정_자유열람실1_오열에서_4.jpg</x:v>
      </x:c>
      <x:c r="R16" t="str">
        <x:v>기존 Excel 대응</x:v>
      </x:c>
      <x:c r="S16" t="str"/>
    </x:row>
    <x:row r="17" ht="15" hidden="0" customHeight="1">
      <x:c r="A17" t="str">
        <x:v>FREE1_1H_R2</x:v>
      </x:c>
      <x:c r="B17" t="str">
        <x:v>일반</x:v>
      </x:c>
      <x:c r="C17" t="str">
        <x:v>오픈열람실2</x:v>
      </x:c>
      <x:c r="D17" t="str">
        <x:v>자유열람실1 AP</x:v>
      </x:c>
      <x:c r="E17" t="str">
        <x:v>고정</x:v>
      </x:c>
      <x:c r="F17" t="n">
        <x:v>60</x:v>
      </x:c>
      <x:c r="G17" t="n">
        <x:v>2</x:v>
      </x:c>
      <x:c r="H17" t="n">
        <x:v>16</x:v>
      </x:c>
      <x:c r="I17" s="62" t="n">
        <x:v>-74</x:v>
      </x:c>
      <x:c r="J17" s="62" t="n">
        <x:v>390</x:v>
      </x:c>
      <x:c r="K17" s="62" t="n">
        <x:v>11</x:v>
      </x:c>
      <x:c r="L17" s="62" t="n">
        <x:v>4</x:v>
      </x:c>
      <x:c r="M17" s="62" t="n">
        <x:v>0</x:v>
      </x:c>
      <x:c r="N17" s="62" t="n">
        <x:v>3.7359</x:v>
      </x:c>
      <x:c r="O17" s="62" t="n">
        <x:v>5.8657</x:v>
      </x:c>
      <x:c r="P17" s="62" t="n">
        <x:f>IF(OR(N17="",O17=""),"",2*N17*O17/(N17+O17))</x:f>
        <x:v>4.5645868667722045</x:v>
      </x:c>
      <x:c r="Q17" t="str">
        <x:v>1시간_측정_자유열람실1_오열에서_3.jpg; 1시간_측정_자유열람실1_오열에서_4.jpg</x:v>
      </x:c>
      <x:c r="R17" t="str">
        <x:v>기존 Excel 대응</x:v>
      </x:c>
      <x:c r="S17" t="str"/>
    </x:row>
    <x:row r="18" ht="15" hidden="0" customHeight="1">
      <x:c r="A18" t="str">
        <x:v>FREE1_1H_R2</x:v>
      </x:c>
      <x:c r="B18" t="str">
        <x:v>일반</x:v>
      </x:c>
      <x:c r="C18" t="str">
        <x:v>오픈열람실2</x:v>
      </x:c>
      <x:c r="D18" t="str">
        <x:v>자유열람실1 AP</x:v>
      </x:c>
      <x:c r="E18" t="str">
        <x:v>고정</x:v>
      </x:c>
      <x:c r="F18" t="n">
        <x:v>60</x:v>
      </x:c>
      <x:c r="G18" t="n">
        <x:v>2</x:v>
      </x:c>
      <x:c r="H18" t="n">
        <x:v>17</x:v>
      </x:c>
      <x:c r="I18" s="62" t="n">
        <x:v>-71</x:v>
      </x:c>
      <x:c r="J18" s="62" t="n">
        <x:v>390</x:v>
      </x:c>
      <x:c r="K18" s="62" t="n">
        <x:v>16</x:v>
      </x:c>
      <x:c r="L18" s="62" t="n">
        <x:v>3</x:v>
      </x:c>
      <x:c r="M18" s="62" t="n">
        <x:v>0</x:v>
      </x:c>
      <x:c r="N18" s="62" t="n">
        <x:v>8.7817</x:v>
      </x:c>
      <x:c r="O18" s="62" t="n">
        <x:v>5.67</x:v>
      </x:c>
      <x:c r="P18" s="62" t="n">
        <x:f>IF(OR(N18="",O18=""),"",2*N18*O18/(N18+O18))</x:f>
        <x:v>6.890848689081562</x:v>
      </x:c>
      <x:c r="Q18" t="str">
        <x:v>1시간_측정_자유열람실1_오열에서_3.jpg; 1시간_측정_자유열람실1_오열에서_4.jpg</x:v>
      </x:c>
      <x:c r="R18" t="str">
        <x:v>기존 Excel 대응</x:v>
      </x:c>
      <x:c r="S18" t="str"/>
    </x:row>
    <x:row r="19" ht="15" hidden="0" customHeight="1">
      <x:c r="A19" t="str">
        <x:v>FREE1_1H_R2</x:v>
      </x:c>
      <x:c r="B19" t="str">
        <x:v>일반</x:v>
      </x:c>
      <x:c r="C19" t="str">
        <x:v>오픈열람실2</x:v>
      </x:c>
      <x:c r="D19" t="str">
        <x:v>자유열람실1 AP</x:v>
      </x:c>
      <x:c r="E19" t="str">
        <x:v>고정</x:v>
      </x:c>
      <x:c r="F19" t="n">
        <x:v>60</x:v>
      </x:c>
      <x:c r="G19" t="n">
        <x:v>2</x:v>
      </x:c>
      <x:c r="H19" t="n">
        <x:v>18</x:v>
      </x:c>
      <x:c r="I19" s="62" t="n">
        <x:v>-74</x:v>
      </x:c>
      <x:c r="J19" s="62" t="n">
        <x:v>390</x:v>
      </x:c>
      <x:c r="K19" s="62" t="n">
        <x:v>7</x:v>
      </x:c>
      <x:c r="L19" s="62" t="n">
        <x:v>5</x:v>
      </x:c>
      <x:c r="M19" s="62" t="n">
        <x:v>0</x:v>
      </x:c>
      <x:c r="N19" s="62" t="n">
        <x:v>10.4615</x:v>
      </x:c>
      <x:c r="O19" s="62" t="n">
        <x:v>5.8533</x:v>
      </x:c>
      <x:c r="P19" s="62" t="n">
        <x:f>IF(OR(N19="",O19=""),"",2*N19*O19/(N19+O19))</x:f>
        <x:v>7.506594987373427</x:v>
      </x:c>
      <x:c r="Q19" t="str">
        <x:v>1시간_측정_자유열람실1_오열에서_3.jpg; 1시간_측정_자유열람실1_오열에서_4.jpg</x:v>
      </x:c>
      <x:c r="R19" t="str">
        <x:v>기존 Excel 대응</x:v>
      </x:c>
      <x:c r="S19" t="str"/>
    </x:row>
    <x:row r="20" ht="15" hidden="0" customHeight="1">
      <x:c r="A20" t="str">
        <x:v>FREE1_1H_R2</x:v>
      </x:c>
      <x:c r="B20" t="str">
        <x:v>일반</x:v>
      </x:c>
      <x:c r="C20" t="str">
        <x:v>오픈열람실2</x:v>
      </x:c>
      <x:c r="D20" t="str">
        <x:v>자유열람실1 AP</x:v>
      </x:c>
      <x:c r="E20" t="str">
        <x:v>고정</x:v>
      </x:c>
      <x:c r="F20" t="n">
        <x:v>60</x:v>
      </x:c>
      <x:c r="G20" t="n">
        <x:v>2</x:v>
      </x:c>
      <x:c r="H20" t="n">
        <x:v>19</x:v>
      </x:c>
      <x:c r="I20" s="62" t="n">
        <x:v>-72</x:v>
      </x:c>
      <x:c r="J20" s="62" t="n">
        <x:v>390</x:v>
      </x:c>
      <x:c r="K20" s="62" t="n">
        <x:v>9</x:v>
      </x:c>
      <x:c r="L20" s="62" t="n">
        <x:v>3</x:v>
      </x:c>
      <x:c r="M20" s="62" t="n">
        <x:v>0</x:v>
      </x:c>
      <x:c r="N20" s="62" t="n">
        <x:v>11.093</x:v>
      </x:c>
      <x:c r="O20" s="62" t="n">
        <x:v>5.4266</x:v>
      </x:c>
      <x:c r="P20" s="62" t="n">
        <x:f>IF(OR(N20="",O20=""),"",2*N20*O20/(N20+O20))</x:f>
        <x:v>7.287982009249618</x:v>
      </x:c>
      <x:c r="Q20" t="str">
        <x:v>1시간_측정_자유열람실1_오열에서_3.jpg; 1시간_측정_자유열람실1_오열에서_4.jpg</x:v>
      </x:c>
      <x:c r="R20" t="str">
        <x:v>기존 Excel 대응</x:v>
      </x:c>
      <x:c r="S20" t="str"/>
    </x:row>
    <x:row r="21" ht="15" hidden="0" customHeight="1">
      <x:c r="A21" t="str">
        <x:v>FREE1_1H_R2</x:v>
      </x:c>
      <x:c r="B21" t="str">
        <x:v>일반</x:v>
      </x:c>
      <x:c r="C21" t="str">
        <x:v>오픈열람실2</x:v>
      </x:c>
      <x:c r="D21" t="str">
        <x:v>자유열람실1 AP</x:v>
      </x:c>
      <x:c r="E21" t="str">
        <x:v>고정</x:v>
      </x:c>
      <x:c r="F21" t="n">
        <x:v>60</x:v>
      </x:c>
      <x:c r="G21" t="n">
        <x:v>2</x:v>
      </x:c>
      <x:c r="H21" t="n">
        <x:v>20</x:v>
      </x:c>
      <x:c r="I21" s="62" t="n">
        <x:v>-71</x:v>
      </x:c>
      <x:c r="J21" s="62" t="n">
        <x:v>390</x:v>
      </x:c>
      <x:c r="K21" s="62" t="n">
        <x:v>5</x:v>
      </x:c>
      <x:c r="L21" s="62" t="n">
        <x:v>4</x:v>
      </x:c>
      <x:c r="M21" s="62" t="n">
        <x:v>0</x:v>
      </x:c>
      <x:c r="N21" s="62" t="n">
        <x:v>13.178</x:v>
      </x:c>
      <x:c r="O21" s="62" t="n">
        <x:v>7.1237</x:v>
      </x:c>
      <x:c r="P21" s="62" t="n">
        <x:f>IF(OR(N21="",O21=""),"",2*N21*O21/(N21+O21))</x:f>
        <x:v>9.248104208021989</x:v>
      </x:c>
      <x:c r="Q21" t="str">
        <x:v>1시간_측정_자유열람실1_오열에서_3.jpg; 1시간_측정_자유열람실1_오열에서_4.jpg</x:v>
      </x:c>
      <x:c r="R21" t="str">
        <x:v>기존 Excel 대응</x:v>
      </x:c>
      <x:c r="S21" t="str"/>
    </x:row>
    <x:row r="22" ht="15" hidden="0" customHeight="1">
      <x:c r="A22" t="str">
        <x:v>FREE1_1H_R2</x:v>
      </x:c>
      <x:c r="B22" t="str">
        <x:v>일반</x:v>
      </x:c>
      <x:c r="C22" t="str">
        <x:v>오픈열람실2</x:v>
      </x:c>
      <x:c r="D22" t="str">
        <x:v>자유열람실1 AP</x:v>
      </x:c>
      <x:c r="E22" t="str">
        <x:v>고정</x:v>
      </x:c>
      <x:c r="F22" t="n">
        <x:v>60</x:v>
      </x:c>
      <x:c r="G22" t="n">
        <x:v>2</x:v>
      </x:c>
      <x:c r="H22" t="n">
        <x:v>21</x:v>
      </x:c>
      <x:c r="I22" s="62" t="n">
        <x:v>-71</x:v>
      </x:c>
      <x:c r="J22" s="62" t="n">
        <x:v>390</x:v>
      </x:c>
      <x:c r="K22" s="62" t="n">
        <x:v>6</x:v>
      </x:c>
      <x:c r="L22" s="62" t="n">
        <x:v>3</x:v>
      </x:c>
      <x:c r="M22" s="62" t="n">
        <x:v>0</x:v>
      </x:c>
      <x:c r="N22" s="62" t="n">
        <x:v>13.1843</x:v>
      </x:c>
      <x:c r="O22" s="62" t="n">
        <x:v>7.1151</x:v>
      </x:c>
      <x:c r="P22" s="62" t="n">
        <x:f>IF(OR(N22="",O22=""),"",2*N22*O22/(N22+O22))</x:f>
        <x:v>9.242402527168291</x:v>
      </x:c>
      <x:c r="Q22" t="str">
        <x:v>1시간_측정_자유열람실1_오열에서_3.jpg; 1시간_측정_자유열람실1_오열에서_4.jpg</x:v>
      </x:c>
      <x:c r="R22" t="str">
        <x:v>기존 Excel 대응</x:v>
      </x:c>
      <x:c r="S22" t="str"/>
    </x:row>
    <x:row r="23" ht="15" hidden="0" customHeight="1">
      <x:c r="A23" t="str">
        <x:v>FREE1_1H_R2</x:v>
      </x:c>
      <x:c r="B23" t="str">
        <x:v>일반</x:v>
      </x:c>
      <x:c r="C23" t="str">
        <x:v>오픈열람실2</x:v>
      </x:c>
      <x:c r="D23" t="str">
        <x:v>자유열람실1 AP</x:v>
      </x:c>
      <x:c r="E23" t="str">
        <x:v>고정</x:v>
      </x:c>
      <x:c r="F23" t="n">
        <x:v>60</x:v>
      </x:c>
      <x:c r="G23" t="n">
        <x:v>2</x:v>
      </x:c>
      <x:c r="H23" t="n">
        <x:v>22</x:v>
      </x:c>
      <x:c r="I23" s="62" t="n">
        <x:v>-72</x:v>
      </x:c>
      <x:c r="J23" s="62" t="n">
        <x:v>424.25</x:v>
      </x:c>
      <x:c r="K23" s="62" t="n">
        <x:v>7</x:v>
      </x:c>
      <x:c r="L23" s="62" t="n">
        <x:v>3</x:v>
      </x:c>
      <x:c r="M23" s="62" t="n">
        <x:v>0</x:v>
      </x:c>
      <x:c r="N23" s="62" t="n">
        <x:v>3.3432</x:v>
      </x:c>
      <x:c r="O23" s="62" t="n">
        <x:v>5.6521</x:v>
      </x:c>
      <x:c r="P23" s="62" t="n">
        <x:f>IF(OR(N23="",O23=""),"",2*N23*O23/(N23+O23))</x:f>
        <x:v>4.201327519927073</x:v>
      </x:c>
      <x:c r="Q23" t="str">
        <x:v>1시간_측정_자유열람실1_오열에서_3.jpg; 1시간_측정_자유열람실1_오열에서_4.jpg</x:v>
      </x:c>
      <x:c r="R23" t="str">
        <x:v>기존 Excel 대응</x:v>
      </x:c>
      <x:c r="S23" t="str"/>
    </x:row>
    <x:row r="24" ht="15" hidden="0" customHeight="1">
      <x:c r="A24" t="str">
        <x:v>FREE1_1H_R2</x:v>
      </x:c>
      <x:c r="B24" t="str">
        <x:v>일반</x:v>
      </x:c>
      <x:c r="C24" t="str">
        <x:v>오픈열람실2</x:v>
      </x:c>
      <x:c r="D24" t="str">
        <x:v>자유열람실1 AP</x:v>
      </x:c>
      <x:c r="E24" t="str">
        <x:v>고정</x:v>
      </x:c>
      <x:c r="F24" t="n">
        <x:v>60</x:v>
      </x:c>
      <x:c r="G24" t="n">
        <x:v>2</x:v>
      </x:c>
      <x:c r="H24" t="n">
        <x:v>23</x:v>
      </x:c>
      <x:c r="I24" s="62" t="n">
        <x:v>-75</x:v>
      </x:c>
      <x:c r="J24" s="62" t="n">
        <x:v>390</x:v>
      </x:c>
      <x:c r="K24" s="62" t="n">
        <x:v>9</x:v>
      </x:c>
      <x:c r="L24" s="62" t="n">
        <x:v>3</x:v>
      </x:c>
      <x:c r="M24" s="62" t="n">
        <x:v>0</x:v>
      </x:c>
      <x:c r="N24" s="62" t="n">
        <x:v>8.7892</x:v>
      </x:c>
      <x:c r="O24" s="62" t="n">
        <x:v>5.0573</x:v>
      </x:c>
      <x:c r="P24" s="62" t="n">
        <x:f>IF(OR(N24="",O24=""),"",2*N24*O24/(N24+O24))</x:f>
        <x:v>6.420340325714079</x:v>
      </x:c>
      <x:c r="Q24" t="str">
        <x:v>1시간_측정_자유열람실1_오열에서_3.jpg; 1시간_측정_자유열람실1_오열에서_4.jpg</x:v>
      </x:c>
      <x:c r="R24" t="str">
        <x:v>기존 Excel 대응</x:v>
      </x:c>
      <x:c r="S24" t="str"/>
    </x:row>
    <x:row r="25" ht="15" hidden="0" customHeight="1">
      <x:c r="A25" t="str">
        <x:v>FREE1_1H_R2</x:v>
      </x:c>
      <x:c r="B25" t="str">
        <x:v>일반</x:v>
      </x:c>
      <x:c r="C25" t="str">
        <x:v>오픈열람실2</x:v>
      </x:c>
      <x:c r="D25" t="str">
        <x:v>자유열람실1 AP</x:v>
      </x:c>
      <x:c r="E25" t="str">
        <x:v>고정</x:v>
      </x:c>
      <x:c r="F25" t="n">
        <x:v>60</x:v>
      </x:c>
      <x:c r="G25" t="n">
        <x:v>2</x:v>
      </x:c>
      <x:c r="H25" t="n">
        <x:v>24</x:v>
      </x:c>
      <x:c r="I25" s="62" t="n">
        <x:v>-76</x:v>
      </x:c>
      <x:c r="J25" s="62" t="n">
        <x:v>390</x:v>
      </x:c>
      <x:c r="K25" s="62" t="n">
        <x:v>16</x:v>
      </x:c>
      <x:c r="L25" s="62" t="n">
        <x:v>4</x:v>
      </x:c>
      <x:c r="M25" s="62" t="n">
        <x:v>0</x:v>
      </x:c>
      <x:c r="N25" s="62" t="n">
        <x:v>10.2578</x:v>
      </x:c>
      <x:c r="O25" s="62" t="n">
        <x:v>6.2722</x:v>
      </x:c>
      <x:c r="P25" s="62" t="n">
        <x:f>IF(OR(N25="",O25=""),"",2*N25*O25/(N25+O25))</x:f>
        <x:v>7.784509759225649</x:v>
      </x:c>
      <x:c r="Q25" t="str">
        <x:v>1시간_측정_자유열람실1_오열에서_3.jpg; 1시간_측정_자유열람실1_오열에서_4.jpg</x:v>
      </x:c>
      <x:c r="R25" t="str">
        <x:v>기존 Excel 대응</x:v>
      </x:c>
      <x:c r="S25" t="str"/>
    </x:row>
    <x:row r="26" ht="15" hidden="0" customHeight="1">
      <x:c r="A26" t="str">
        <x:v>FREE1_1H_R2</x:v>
      </x:c>
      <x:c r="B26" t="str">
        <x:v>일반</x:v>
      </x:c>
      <x:c r="C26" t="str">
        <x:v>오픈열람실2</x:v>
      </x:c>
      <x:c r="D26" t="str">
        <x:v>자유열람실1 AP</x:v>
      </x:c>
      <x:c r="E26" t="str">
        <x:v>고정</x:v>
      </x:c>
      <x:c r="F26" t="n">
        <x:v>60</x:v>
      </x:c>
      <x:c r="G26" t="n">
        <x:v>2</x:v>
      </x:c>
      <x:c r="H26" t="n">
        <x:v>25</x:v>
      </x:c>
      <x:c r="I26" s="62" t="n">
        <x:v>-73</x:v>
      </x:c>
      <x:c r="J26" s="62" t="n">
        <x:v>390</x:v>
      </x:c>
      <x:c r="K26" s="62" t="n">
        <x:v>12</x:v>
      </x:c>
      <x:c r="L26" s="62" t="n">
        <x:v>4</x:v>
      </x:c>
      <x:c r="M26" s="62" t="n">
        <x:v>0</x:v>
      </x:c>
      <x:c r="N26" s="62" t="n">
        <x:v>12.7744</x:v>
      </x:c>
      <x:c r="O26" s="62" t="n">
        <x:v>6.9122</x:v>
      </x:c>
      <x:c r="P26" s="62" t="n">
        <x:f>IF(OR(N26="",O26=""),"",2*N26*O26/(N26+O26))</x:f>
        <x:v>8.970488319973994</x:v>
      </x:c>
      <x:c r="Q26" t="str">
        <x:v>1시간_측정_자유열람실1_오열에서_3.jpg; 1시간_측정_자유열람실1_오열에서_4.jpg</x:v>
      </x:c>
      <x:c r="R26" t="str">
        <x:v>기존 Excel 대응</x:v>
      </x:c>
      <x:c r="S26" t="str"/>
    </x:row>
    <x:row r="27" ht="15" hidden="0" customHeight="1">
      <x:c r="A27" t="str">
        <x:v>FREE1_1H_R2</x:v>
      </x:c>
      <x:c r="B27" t="str">
        <x:v>일반</x:v>
      </x:c>
      <x:c r="C27" t="str">
        <x:v>오픈열람실2</x:v>
      </x:c>
      <x:c r="D27" t="str">
        <x:v>자유열람실1 AP</x:v>
      </x:c>
      <x:c r="E27" t="str">
        <x:v>고정</x:v>
      </x:c>
      <x:c r="F27" t="n">
        <x:v>60</x:v>
      </x:c>
      <x:c r="G27" t="n">
        <x:v>2</x:v>
      </x:c>
      <x:c r="H27" t="n">
        <x:v>26</x:v>
      </x:c>
      <x:c r="I27" s="62" t="n">
        <x:v>-76</x:v>
      </x:c>
      <x:c r="J27" s="62" t="n">
        <x:v>390</x:v>
      </x:c>
      <x:c r="K27" s="62" t="n">
        <x:v>16</x:v>
      </x:c>
      <x:c r="L27" s="62" t="n">
        <x:v>2</x:v>
      </x:c>
      <x:c r="M27" s="62" t="n">
        <x:v>0</x:v>
      </x:c>
      <x:c r="N27" s="62" t="n">
        <x:v>11.7286</x:v>
      </x:c>
      <x:c r="O27" s="62" t="n">
        <x:v>5.0143</x:v>
      </x:c>
      <x:c r="P27" s="62" t="n">
        <x:f>IF(OR(N27="",O27=""),"",2*N27*O27/(N27+O27))</x:f>
        <x:v>7.025153226740888</x:v>
      </x:c>
      <x:c r="Q27" t="str">
        <x:v>1시간_측정_자유열람실1_오열에서_3.jpg; 1시간_측정_자유열람실1_오열에서_4.jpg</x:v>
      </x:c>
      <x:c r="R27" t="str">
        <x:v>기존 Excel 대응</x:v>
      </x:c>
      <x:c r="S27" t="str"/>
    </x:row>
    <x:row r="28" ht="15" hidden="0" customHeight="1">
      <x:c r="A28" t="str">
        <x:v>FREE1_1H_R2</x:v>
      </x:c>
      <x:c r="B28" t="str">
        <x:v>일반</x:v>
      </x:c>
      <x:c r="C28" t="str">
        <x:v>오픈열람실2</x:v>
      </x:c>
      <x:c r="D28" t="str">
        <x:v>자유열람실1 AP</x:v>
      </x:c>
      <x:c r="E28" t="str">
        <x:v>고정</x:v>
      </x:c>
      <x:c r="F28" t="n">
        <x:v>60</x:v>
      </x:c>
      <x:c r="G28" t="n">
        <x:v>2</x:v>
      </x:c>
      <x:c r="H28" t="n">
        <x:v>27</x:v>
      </x:c>
      <x:c r="I28" s="62" t="n">
        <x:v>-74</x:v>
      </x:c>
      <x:c r="J28" s="62" t="n">
        <x:v>390</x:v>
      </x:c>
      <x:c r="K28" s="62" t="n">
        <x:v>27</x:v>
      </x:c>
      <x:c r="L28" s="62" t="n">
        <x:v>3</x:v>
      </x:c>
      <x:c r="M28" s="62" t="n">
        <x:v>0</x:v>
      </x:c>
      <x:c r="N28" s="62" t="n">
        <x:v>12.3613</x:v>
      </x:c>
      <x:c r="O28" s="62" t="n">
        <x:v>8.7971</x:v>
      </x:c>
      <x:c r="P28" s="62" t="n">
        <x:f>IF(OR(N28="",O28=""),"",2*N28*O28/(N28+O28))</x:f>
        <x:v>10.278999568020266</x:v>
      </x:c>
      <x:c r="Q28" t="str">
        <x:v>1시간_측정_자유열람실1_오열에서_3.jpg; 1시간_측정_자유열람실1_오열에서_4.jpg</x:v>
      </x:c>
      <x:c r="R28" t="str">
        <x:v>기존 Excel 대응</x:v>
      </x:c>
      <x:c r="S28" t="str"/>
    </x:row>
    <x:row r="29" ht="15" hidden="0" customHeight="1">
      <x:c r="A29" t="str">
        <x:v>FREE1_1H_R2</x:v>
      </x:c>
      <x:c r="B29" t="str">
        <x:v>일반</x:v>
      </x:c>
      <x:c r="C29" t="str">
        <x:v>오픈열람실2</x:v>
      </x:c>
      <x:c r="D29" t="str">
        <x:v>자유열람실1 AP</x:v>
      </x:c>
      <x:c r="E29" t="str">
        <x:v>고정</x:v>
      </x:c>
      <x:c r="F29" t="n">
        <x:v>60</x:v>
      </x:c>
      <x:c r="G29" t="n">
        <x:v>2</x:v>
      </x:c>
      <x:c r="H29" t="n">
        <x:v>28</x:v>
      </x:c>
      <x:c r="I29" s="62" t="n">
        <x:v>-73</x:v>
      </x:c>
      <x:c r="J29" s="62" t="n">
        <x:v>424.25</x:v>
      </x:c>
      <x:c r="K29" s="62" t="n">
        <x:v>9</x:v>
      </x:c>
      <x:c r="L29" s="62" t="n">
        <x:v>5</x:v>
      </x:c>
      <x:c r="M29" s="62" t="n">
        <x:v>0</x:v>
      </x:c>
      <x:c r="N29" s="62" t="n">
        <x:v>11.2975</x:v>
      </x:c>
      <x:c r="O29" s="62" t="n">
        <x:v>8.5968</x:v>
      </x:c>
      <x:c r="P29" s="62" t="n">
        <x:f>IF(OR(N29="",O29=""),"",2*N29*O29/(N29+O29))</x:f>
        <x:v>9.763836676837082</x:v>
      </x:c>
      <x:c r="Q29" t="str">
        <x:v>1시간_측정_자유열람실1_오열에서_3.jpg; 1시간_측정_자유열람실1_오열에서_4.jpg</x:v>
      </x:c>
      <x:c r="R29" t="str">
        <x:v>기존 Excel 대응</x:v>
      </x:c>
      <x:c r="S29" t="str"/>
    </x:row>
    <x:row r="30" ht="15" hidden="0" customHeight="1">
      <x:c r="A30" t="str">
        <x:v>FREE1_1H_R2</x:v>
      </x:c>
      <x:c r="B30" t="str">
        <x:v>일반</x:v>
      </x:c>
      <x:c r="C30" t="str">
        <x:v>오픈열람실2</x:v>
      </x:c>
      <x:c r="D30" t="str">
        <x:v>자유열람실1 AP</x:v>
      </x:c>
      <x:c r="E30" t="str">
        <x:v>고정</x:v>
      </x:c>
      <x:c r="F30" t="n">
        <x:v>60</x:v>
      </x:c>
      <x:c r="G30" t="n">
        <x:v>2</x:v>
      </x:c>
      <x:c r="H30" t="n">
        <x:v>29</x:v>
      </x:c>
      <x:c r="I30" s="62" t="n">
        <x:v>-71</x:v>
      </x:c>
      <x:c r="J30" s="62" t="n">
        <x:v>390</x:v>
      </x:c>
      <x:c r="K30" s="62" t="n">
        <x:v>8</x:v>
      </x:c>
      <x:c r="L30" s="62" t="n">
        <x:v>4</x:v>
      </x:c>
      <x:c r="M30" s="62" t="n">
        <x:v>0</x:v>
      </x:c>
      <x:c r="N30" s="62" t="n">
        <x:v>10.4786</x:v>
      </x:c>
      <x:c r="O30" s="62" t="n">
        <x:v>7.7489</x:v>
      </x:c>
      <x:c r="P30" s="62" t="n">
        <x:f>IF(OR(N30="",O30=""),"",2*N30*O30/(N30+O30))</x:f>
        <x:v>8.909353837882321</x:v>
      </x:c>
      <x:c r="Q30" t="str">
        <x:v>1시간_측정_자유열람실1_오열에서_3.jpg; 1시간_측정_자유열람실1_오열에서_4.jpg</x:v>
      </x:c>
      <x:c r="R30" t="str">
        <x:v>기존 Excel 대응</x:v>
      </x:c>
      <x:c r="S30" t="str"/>
    </x:row>
    <x:row r="31" ht="15" hidden="0" customHeight="1">
      <x:c r="A31" t="str">
        <x:v>FREE1_1H_R2</x:v>
      </x:c>
      <x:c r="B31" t="str">
        <x:v>일반</x:v>
      </x:c>
      <x:c r="C31" t="str">
        <x:v>오픈열람실2</x:v>
      </x:c>
      <x:c r="D31" t="str">
        <x:v>자유열람실1 AP</x:v>
      </x:c>
      <x:c r="E31" t="str">
        <x:v>고정</x:v>
      </x:c>
      <x:c r="F31" t="n">
        <x:v>60</x:v>
      </x:c>
      <x:c r="G31" t="n">
        <x:v>2</x:v>
      </x:c>
      <x:c r="H31" t="n">
        <x:v>30</x:v>
      </x:c>
      <x:c r="I31" s="62" t="n">
        <x:v>-76</x:v>
      </x:c>
      <x:c r="J31" s="62" t="n">
        <x:v>390</x:v>
      </x:c>
      <x:c r="K31" s="62" t="n">
        <x:v>22</x:v>
      </x:c>
      <x:c r="L31" s="62" t="n">
        <x:v>4</x:v>
      </x:c>
      <x:c r="M31" s="62" t="n">
        <x:v>0</x:v>
      </x:c>
      <x:c r="N31" s="62" t="n">
        <x:v>10.2556</x:v>
      </x:c>
      <x:c r="O31" s="62" t="n">
        <x:v>7.9403</x:v>
      </x:c>
      <x:c r="P31" s="62" t="n">
        <x:f>IF(OR(N31="",O31=""),"",2*N31*O31/(N31+O31))</x:f>
        <x:v>8.950647198544727</x:v>
      </x:c>
      <x:c r="Q31" t="str">
        <x:v>1시간_측정_자유열람실1_오열에서_3.jpg; 1시간_측정_자유열람실1_오열에서_4.jpg</x:v>
      </x:c>
      <x:c r="R31" t="str">
        <x:v>기존 Excel 대응</x:v>
      </x:c>
      <x:c r="S31" t="str"/>
    </x:row>
    <x:row r="32" ht="15" hidden="0" customHeight="1">
      <x:c r="A32" t="str">
        <x:v>FREE1_1H_R2</x:v>
      </x:c>
      <x:c r="B32" t="str">
        <x:v>일반</x:v>
      </x:c>
      <x:c r="C32" t="str">
        <x:v>오픈열람실2</x:v>
      </x:c>
      <x:c r="D32" t="str">
        <x:v>자유열람실1 AP</x:v>
      </x:c>
      <x:c r="E32" t="str">
        <x:v>고정</x:v>
      </x:c>
      <x:c r="F32" t="n">
        <x:v>60</x:v>
      </x:c>
      <x:c r="G32" t="n">
        <x:v>2</x:v>
      </x:c>
      <x:c r="H32" t="n">
        <x:v>31</x:v>
      </x:c>
      <x:c r="I32" s="62" t="n">
        <x:v>-74</x:v>
      </x:c>
      <x:c r="J32" s="62" t="n">
        <x:v>390</x:v>
      </x:c>
      <x:c r="K32" s="62" t="n">
        <x:v>14</x:v>
      </x:c>
      <x:c r="L32" s="62" t="n">
        <x:v>4</x:v>
      </x:c>
      <x:c r="M32" s="62" t="n">
        <x:v>0</x:v>
      </x:c>
      <x:c r="N32" s="62" t="n">
        <x:v>11.931</x:v>
      </x:c>
      <x:c r="O32" s="62" t="n">
        <x:v>4.8189</x:v>
      </x:c>
      <x:c r="P32" s="62" t="n">
        <x:f>IF(OR(N32="",O32=""),"",2*N32*O32/(N32+O32))</x:f>
        <x:v>6.865031540486808</x:v>
      </x:c>
      <x:c r="Q32" t="str">
        <x:v>1시간_측정_자유열람실1_오열에서_3.jpg; 1시간_측정_자유열람실1_오열에서_4.jpg</x:v>
      </x:c>
      <x:c r="R32" t="str">
        <x:v>기존 Excel 대응</x:v>
      </x:c>
      <x:c r="S32" t="str"/>
    </x:row>
    <x:row r="33" ht="15" hidden="0" customHeight="1">
      <x:c r="A33" t="str">
        <x:v>FREE1_1H_R2</x:v>
      </x:c>
      <x:c r="B33" t="str">
        <x:v>일반</x:v>
      </x:c>
      <x:c r="C33" t="str">
        <x:v>오픈열람실2</x:v>
      </x:c>
      <x:c r="D33" t="str">
        <x:v>자유열람실1 AP</x:v>
      </x:c>
      <x:c r="E33" t="str">
        <x:v>고정</x:v>
      </x:c>
      <x:c r="F33" t="n">
        <x:v>60</x:v>
      </x:c>
      <x:c r="G33" t="n">
        <x:v>2</x:v>
      </x:c>
      <x:c r="H33" t="n">
        <x:v>32</x:v>
      </x:c>
      <x:c r="I33" s="62" t="n">
        <x:v>-76</x:v>
      </x:c>
      <x:c r="J33" s="62" t="n">
        <x:v>390</x:v>
      </x:c>
      <x:c r="K33" s="62" t="n">
        <x:v>15</x:v>
      </x:c>
      <x:c r="L33" s="62" t="n">
        <x:v>3</x:v>
      </x:c>
      <x:c r="M33" s="62" t="n">
        <x:v>0</x:v>
      </x:c>
      <x:c r="N33" s="62" t="n">
        <x:v>11.9294</x:v>
      </x:c>
      <x:c r="O33" s="62" t="n">
        <x:v>6.8973</x:v>
      </x:c>
      <x:c r="P33" s="62" t="n">
        <x:f>IF(OR(N33="",O33=""),"",2*N33*O33/(N33+O33))</x:f>
        <x:v>8.740846841985054</x:v>
      </x:c>
      <x:c r="Q33" t="str">
        <x:v>1시간_측정_자유열람실1_오열에서_3.jpg; 1시간_측정_자유열람실1_오열에서_4.jpg</x:v>
      </x:c>
      <x:c r="R33" t="str">
        <x:v>기존 Excel 대응</x:v>
      </x:c>
      <x:c r="S33" t="str"/>
    </x:row>
    <x:row r="34" ht="15" hidden="0" customHeight="1">
      <x:c r="A34" t="str">
        <x:v>FREE1_1H_R2</x:v>
      </x:c>
      <x:c r="B34" t="str">
        <x:v>일반</x:v>
      </x:c>
      <x:c r="C34" t="str">
        <x:v>오픈열람실2</x:v>
      </x:c>
      <x:c r="D34" t="str">
        <x:v>자유열람실1 AP</x:v>
      </x:c>
      <x:c r="E34" t="str">
        <x:v>고정</x:v>
      </x:c>
      <x:c r="F34" t="n">
        <x:v>60</x:v>
      </x:c>
      <x:c r="G34" t="n">
        <x:v>2</x:v>
      </x:c>
      <x:c r="H34" t="n">
        <x:v>33</x:v>
      </x:c>
      <x:c r="I34" s="62" t="n">
        <x:v>-77</x:v>
      </x:c>
      <x:c r="J34" s="62" t="n">
        <x:v>390</x:v>
      </x:c>
      <x:c r="K34" s="62" t="n">
        <x:v>29</x:v>
      </x:c>
      <x:c r="L34" s="62" t="n">
        <x:v>10</x:v>
      </x:c>
      <x:c r="M34" s="62" t="n">
        <x:v>0</x:v>
      </x:c>
      <x:c r="N34" s="62" t="n">
        <x:v>11.5497</x:v>
      </x:c>
      <x:c r="O34" s="62" t="n">
        <x:v>7.7433</x:v>
      </x:c>
      <x:c r="P34" s="62" t="n">
        <x:f>IF(OR(N34="",O34=""),"",2*N34*O34/(N34+O34))</x:f>
        <x:v>9.271009382677654</x:v>
      </x:c>
      <x:c r="Q34" t="str">
        <x:v>1시간_측정_자유열람실1_오열에서_3.jpg; 1시간_측정_자유열람실1_오열에서_4.jpg</x:v>
      </x:c>
      <x:c r="R34" t="str">
        <x:v>기존 Excel 대응</x:v>
      </x:c>
      <x:c r="S34" t="str"/>
    </x:row>
    <x:row r="35" ht="15" hidden="0" customHeight="1">
      <x:c r="A35" t="str">
        <x:v>FREE1_1H_R2</x:v>
      </x:c>
      <x:c r="B35" t="str">
        <x:v>일반</x:v>
      </x:c>
      <x:c r="C35" t="str">
        <x:v>오픈열람실2</x:v>
      </x:c>
      <x:c r="D35" t="str">
        <x:v>자유열람실1 AP</x:v>
      </x:c>
      <x:c r="E35" t="str">
        <x:v>고정</x:v>
      </x:c>
      <x:c r="F35" t="n">
        <x:v>60</x:v>
      </x:c>
      <x:c r="G35" t="n">
        <x:v>2</x:v>
      </x:c>
      <x:c r="H35" t="n">
        <x:v>34</x:v>
      </x:c>
      <x:c r="I35" s="62" t="n">
        <x:v>-76</x:v>
      </x:c>
      <x:c r="J35" s="62" t="n">
        <x:v>390</x:v>
      </x:c>
      <x:c r="K35" s="62" t="n">
        <x:v>11</x:v>
      </x:c>
      <x:c r="L35" s="62" t="n">
        <x:v>4</x:v>
      </x:c>
      <x:c r="M35" s="62" t="n">
        <x:v>0</x:v>
      </x:c>
      <x:c r="N35" s="62" t="n">
        <x:v>8.167</x:v>
      </x:c>
      <x:c r="O35" s="62" t="n">
        <x:v>6.9117</x:v>
      </x:c>
      <x:c r="P35" s="62" t="n">
        <x:f>IF(OR(N35="",O35=""),"",2*N35*O35/(N35+O35))</x:f>
        <x:v>7.487098211384271</x:v>
      </x:c>
      <x:c r="Q35" t="str">
        <x:v>1시간_측정_자유열람실1_오열에서_3.jpg; 1시간_측정_자유열람실1_오열에서_4.jpg</x:v>
      </x:c>
      <x:c r="R35" t="str">
        <x:v>기존 Excel 대응</x:v>
      </x:c>
      <x:c r="S35" t="str"/>
    </x:row>
    <x:row r="36" ht="15" hidden="0" customHeight="1">
      <x:c r="A36" t="str">
        <x:v>FREE1_1H_R2</x:v>
      </x:c>
      <x:c r="B36" t="str">
        <x:v>일반</x:v>
      </x:c>
      <x:c r="C36" t="str">
        <x:v>오픈열람실2</x:v>
      </x:c>
      <x:c r="D36" t="str">
        <x:v>자유열람실1 AP</x:v>
      </x:c>
      <x:c r="E36" t="str">
        <x:v>고정</x:v>
      </x:c>
      <x:c r="F36" t="n">
        <x:v>60</x:v>
      </x:c>
      <x:c r="G36" t="n">
        <x:v>2</x:v>
      </x:c>
      <x:c r="H36" t="n">
        <x:v>35</x:v>
      </x:c>
      <x:c r="I36" s="62" t="n">
        <x:v>-75</x:v>
      </x:c>
      <x:c r="J36" s="62" t="n">
        <x:v>390</x:v>
      </x:c>
      <x:c r="K36" s="62" t="n">
        <x:v>23</x:v>
      </x:c>
      <x:c r="L36" s="62" t="n">
        <x:v>11</x:v>
      </x:c>
      <x:c r="M36" s="62" t="n">
        <x:v>0</x:v>
      </x:c>
      <x:c r="N36" s="62" t="n">
        <x:v>11.7204</x:v>
      </x:c>
      <x:c r="O36" s="62" t="n">
        <x:v>8.3674</x:v>
      </x:c>
      <x:c r="P36" s="62" t="n">
        <x:f>IF(OR(N36="",O36=""),"",2*N36*O36/(N36+O36))</x:f>
        <x:v>9.76406325829608</x:v>
      </x:c>
      <x:c r="Q36" t="str">
        <x:v>1시간_측정_자유열람실1_오열에서_3.jpg; 1시간_측정_자유열람실1_오열에서_4.jpg</x:v>
      </x:c>
      <x:c r="R36" t="str">
        <x:v>기존 Excel 대응</x:v>
      </x:c>
      <x:c r="S36" t="str"/>
    </x:row>
    <x:row r="37" ht="15" hidden="0" customHeight="1">
      <x:c r="A37" t="str">
        <x:v>FREE1_1H_R2</x:v>
      </x:c>
      <x:c r="B37" t="str">
        <x:v>일반</x:v>
      </x:c>
      <x:c r="C37" t="str">
        <x:v>오픈열람실2</x:v>
      </x:c>
      <x:c r="D37" t="str">
        <x:v>자유열람실1 AP</x:v>
      </x:c>
      <x:c r="E37" t="str">
        <x:v>고정</x:v>
      </x:c>
      <x:c r="F37" t="n">
        <x:v>60</x:v>
      </x:c>
      <x:c r="G37" t="n">
        <x:v>2</x:v>
      </x:c>
      <x:c r="H37" t="n">
        <x:v>36</x:v>
      </x:c>
      <x:c r="I37" s="62" t="n">
        <x:v>-72</x:v>
      </x:c>
      <x:c r="J37" s="62" t="n">
        <x:v>390</x:v>
      </x:c>
      <x:c r="K37" s="62" t="n">
        <x:v>14</x:v>
      </x:c>
      <x:c r="L37" s="62" t="n">
        <x:v>3</x:v>
      </x:c>
      <x:c r="M37" s="62" t="n">
        <x:v>0</x:v>
      </x:c>
      <x:c r="N37" s="62" t="n">
        <x:v>12.1543</x:v>
      </x:c>
      <x:c r="O37" s="62" t="n">
        <x:v>9.0155</x:v>
      </x:c>
      <x:c r="P37" s="62" t="n">
        <x:f>IF(OR(N37="",O37=""),"",2*N37*O37/(N37+O37))</x:f>
        <x:v>10.352208490396697</x:v>
      </x:c>
      <x:c r="Q37" t="str">
        <x:v>1시간_측정_자유열람실1_오열에서_3.jpg; 1시간_측정_자유열람실1_오열에서_4.jpg</x:v>
      </x:c>
      <x:c r="R37" t="str">
        <x:v>기존 Excel 대응</x:v>
      </x:c>
      <x:c r="S37" t="str"/>
    </x:row>
    <x:row r="38" ht="15" hidden="0" customHeight="1">
      <x:c r="A38" t="str">
        <x:v>FREE1_1H_R2</x:v>
      </x:c>
      <x:c r="B38" t="str">
        <x:v>일반</x:v>
      </x:c>
      <x:c r="C38" t="str">
        <x:v>오픈열람실2</x:v>
      </x:c>
      <x:c r="D38" t="str">
        <x:v>자유열람실1 AP</x:v>
      </x:c>
      <x:c r="E38" t="str">
        <x:v>고정</x:v>
      </x:c>
      <x:c r="F38" t="n">
        <x:v>60</x:v>
      </x:c>
      <x:c r="G38" t="n">
        <x:v>2</x:v>
      </x:c>
      <x:c r="H38" t="n">
        <x:v>37</x:v>
      </x:c>
      <x:c r="I38" s="62" t="n">
        <x:v>-75</x:v>
      </x:c>
      <x:c r="J38" s="62" t="n">
        <x:v>390</x:v>
      </x:c>
      <x:c r="K38" s="62" t="n">
        <x:v>8</x:v>
      </x:c>
      <x:c r="L38" s="62" t="n">
        <x:v>4</x:v>
      </x:c>
      <x:c r="M38" s="62" t="n">
        <x:v>0</x:v>
      </x:c>
      <x:c r="N38" s="62" t="n">
        <x:v>14.4281</x:v>
      </x:c>
      <x:c r="O38" s="62" t="n">
        <x:v>5.0114</x:v>
      </x:c>
      <x:c r="P38" s="62" t="n">
        <x:f>IF(OR(N38="",O38=""),"",2*N38*O38/(N38+O38))</x:f>
        <x:v>7.438975317266389</x:v>
      </x:c>
      <x:c r="Q38" t="str">
        <x:v>1시간_측정_자유열람실1_오열에서_3.jpg; 1시간_측정_자유열람실1_오열에서_4.jpg</x:v>
      </x:c>
      <x:c r="R38" t="str">
        <x:v>기존 Excel 대응</x:v>
      </x:c>
      <x:c r="S38" t="str"/>
    </x:row>
    <x:row r="39" ht="15" hidden="0" customHeight="1">
      <x:c r="A39" t="str">
        <x:v>FREE1_1H_R2</x:v>
      </x:c>
      <x:c r="B39" t="str">
        <x:v>일반</x:v>
      </x:c>
      <x:c r="C39" t="str">
        <x:v>오픈열람실2</x:v>
      </x:c>
      <x:c r="D39" t="str">
        <x:v>자유열람실1 AP</x:v>
      </x:c>
      <x:c r="E39" t="str">
        <x:v>고정</x:v>
      </x:c>
      <x:c r="F39" t="n">
        <x:v>60</x:v>
      </x:c>
      <x:c r="G39" t="n">
        <x:v>2</x:v>
      </x:c>
      <x:c r="H39" t="n">
        <x:v>38</x:v>
      </x:c>
      <x:c r="I39" s="62" t="n">
        <x:v>-77</x:v>
      </x:c>
      <x:c r="J39" s="62" t="n">
        <x:v>390</x:v>
      </x:c>
      <x:c r="K39" s="62" t="n">
        <x:v>12</x:v>
      </x:c>
      <x:c r="L39" s="62" t="n">
        <x:v>4</x:v>
      </x:c>
      <x:c r="M39" s="62" t="n">
        <x:v>0</x:v>
      </x:c>
      <x:c r="N39" s="62" t="n">
        <x:v>10.8879</x:v>
      </x:c>
      <x:c r="O39" s="62" t="n">
        <x:v>7.9501</x:v>
      </x:c>
      <x:c r="P39" s="62" t="n">
        <x:f>IF(OR(N39="",O39=""),"",2*N39*O39/(N39+O39))</x:f>
        <x:v>9.189923961142371</x:v>
      </x:c>
      <x:c r="Q39" t="str">
        <x:v>1시간_측정_자유열람실1_오열에서_3.jpg; 1시간_측정_자유열람실1_오열에서_4.jpg</x:v>
      </x:c>
      <x:c r="R39" t="str">
        <x:v>기존 Excel 대응</x:v>
      </x:c>
      <x:c r="S39" t="str"/>
    </x:row>
    <x:row r="40" ht="15" hidden="0" customHeight="1">
      <x:c r="A40" t="str">
        <x:v>FREE1_1H_R2</x:v>
      </x:c>
      <x:c r="B40" t="str">
        <x:v>일반</x:v>
      </x:c>
      <x:c r="C40" t="str">
        <x:v>오픈열람실2</x:v>
      </x:c>
      <x:c r="D40" t="str">
        <x:v>자유열람실1 AP</x:v>
      </x:c>
      <x:c r="E40" t="str">
        <x:v>고정</x:v>
      </x:c>
      <x:c r="F40" t="n">
        <x:v>60</x:v>
      </x:c>
      <x:c r="G40" t="n">
        <x:v>2</x:v>
      </x:c>
      <x:c r="H40" t="n">
        <x:v>39</x:v>
      </x:c>
      <x:c r="I40" s="62" t="n">
        <x:v>-76</x:v>
      </x:c>
      <x:c r="J40" s="62" t="n">
        <x:v>390</x:v>
      </x:c>
      <x:c r="K40" s="62" t="n">
        <x:v>17</x:v>
      </x:c>
      <x:c r="L40" s="62" t="n">
        <x:v>3</x:v>
      </x:c>
      <x:c r="M40" s="62" t="n">
        <x:v>0</x:v>
      </x:c>
      <x:c r="N40" s="62" t="n">
        <x:v>14.2024</x:v>
      </x:c>
      <x:c r="O40" s="62" t="n">
        <x:v>8.1587</x:v>
      </x:c>
      <x:c r="P40" s="62" t="n">
        <x:f>IF(OR(N40="",O40=""),"",2*N40*O40/(N40+O40))</x:f>
        <x:v>10.363812234639619</x:v>
      </x:c>
      <x:c r="Q40" t="str">
        <x:v>1시간_측정_자유열람실1_오열에서_3.jpg; 1시간_측정_자유열람실1_오열에서_4.jpg</x:v>
      </x:c>
      <x:c r="R40" t="str">
        <x:v>기존 Excel 대응</x:v>
      </x:c>
      <x:c r="S40" t="str"/>
    </x:row>
    <x:row r="41" ht="15" hidden="0" customHeight="1">
      <x:c r="A41" t="str">
        <x:v>FREE1_1H_R2</x:v>
      </x:c>
      <x:c r="B41" t="str">
        <x:v>일반</x:v>
      </x:c>
      <x:c r="C41" t="str">
        <x:v>오픈열람실2</x:v>
      </x:c>
      <x:c r="D41" t="str">
        <x:v>자유열람실1 AP</x:v>
      </x:c>
      <x:c r="E41" t="str">
        <x:v>고정</x:v>
      </x:c>
      <x:c r="F41" t="n">
        <x:v>60</x:v>
      </x:c>
      <x:c r="G41" t="n">
        <x:v>2</x:v>
      </x:c>
      <x:c r="H41" t="n">
        <x:v>40</x:v>
      </x:c>
      <x:c r="I41" s="62" t="n">
        <x:v>-77</x:v>
      </x:c>
      <x:c r="J41" s="62" t="n">
        <x:v>390</x:v>
      </x:c>
      <x:c r="K41" s="62" t="n">
        <x:v>6</x:v>
      </x:c>
      <x:c r="L41" s="62" t="n">
        <x:v>3</x:v>
      </x:c>
      <x:c r="M41" s="62" t="n">
        <x:v>0</x:v>
      </x:c>
      <x:c r="N41" s="62" t="n">
        <x:v>14.2354</x:v>
      </x:c>
      <x:c r="O41" s="62" t="n">
        <x:v>4.3982</x:v>
      </x:c>
      <x:c r="P41" s="62" t="n">
        <x:f>IF(OR(N41="",O41=""),"",2*N41*O41/(N41+O41))</x:f>
        <x:v>6.720133122960673</x:v>
      </x:c>
      <x:c r="Q41" t="str">
        <x:v>1시간_측정_자유열람실1_오열에서_3.jpg; 1시간_측정_자유열람실1_오열에서_4.jpg</x:v>
      </x:c>
      <x:c r="R41" t="str">
        <x:v>기존 Excel 대응</x:v>
      </x:c>
      <x:c r="S41" t="str"/>
    </x:row>
    <x:row r="42" ht="15" hidden="0" customHeight="1">
      <x:c r="A42" t="str">
        <x:v>FREE1_1H_R2</x:v>
      </x:c>
      <x:c r="B42" t="str">
        <x:v>일반</x:v>
      </x:c>
      <x:c r="C42" t="str">
        <x:v>오픈열람실2</x:v>
      </x:c>
      <x:c r="D42" t="str">
        <x:v>자유열람실1 AP</x:v>
      </x:c>
      <x:c r="E42" t="str">
        <x:v>고정</x:v>
      </x:c>
      <x:c r="F42" t="n">
        <x:v>60</x:v>
      </x:c>
      <x:c r="G42" t="n">
        <x:v>2</x:v>
      </x:c>
      <x:c r="H42" t="n">
        <x:v>41</x:v>
      </x:c>
      <x:c r="I42" s="62" t="n">
        <x:v>-77</x:v>
      </x:c>
      <x:c r="J42" s="62" t="n">
        <x:v>458.75</x:v>
      </x:c>
      <x:c r="K42" s="62" t="n">
        <x:v>14</x:v>
      </x:c>
      <x:c r="L42" s="62" t="n">
        <x:v>3</x:v>
      </x:c>
      <x:c r="M42" s="62" t="n">
        <x:v>0</x:v>
      </x:c>
      <x:c r="N42" s="62" t="n">
        <x:v>10.0608</x:v>
      </x:c>
      <x:c r="O42" s="62" t="n">
        <x:v>6.9089</x:v>
      </x:c>
      <x:c r="P42" s="62" t="n">
        <x:f>IF(OR(N42="",O42=""),"",2*N42*O42/(N42+O42))</x:f>
        <x:v>8.19213788340395</x:v>
      </x:c>
      <x:c r="Q42" t="str">
        <x:v>1시간_측정_자유열람실1_오열에서_3.jpg; 1시간_측정_자유열람실1_오열에서_4.jpg</x:v>
      </x:c>
      <x:c r="R42" t="str">
        <x:v>기존 Excel 대응</x:v>
      </x:c>
      <x:c r="S42" t="str"/>
    </x:row>
    <x:row r="43" ht="15" hidden="0" customHeight="1">
      <x:c r="A43" t="str">
        <x:v>FREE1_1H_R2</x:v>
      </x:c>
      <x:c r="B43" t="str">
        <x:v>일반</x:v>
      </x:c>
      <x:c r="C43" t="str">
        <x:v>오픈열람실2</x:v>
      </x:c>
      <x:c r="D43" t="str">
        <x:v>자유열람실1 AP</x:v>
      </x:c>
      <x:c r="E43" t="str">
        <x:v>고정</x:v>
      </x:c>
      <x:c r="F43" t="n">
        <x:v>60</x:v>
      </x:c>
      <x:c r="G43" t="n">
        <x:v>2</x:v>
      </x:c>
      <x:c r="H43" t="n">
        <x:v>42</x:v>
      </x:c>
      <x:c r="I43" s="62" t="n">
        <x:v>-77</x:v>
      </x:c>
      <x:c r="J43" s="62" t="n">
        <x:v>390</x:v>
      </x:c>
      <x:c r="K43" s="62" t="n">
        <x:v>12</x:v>
      </x:c>
      <x:c r="L43" s="62" t="n">
        <x:v>7</x:v>
      </x:c>
      <x:c r="M43" s="62" t="n">
        <x:v>0</x:v>
      </x:c>
      <x:c r="N43" s="62" t="n">
        <x:v>11.0957</x:v>
      </x:c>
      <x:c r="O43" s="62" t="n">
        <x:v>9.4204</x:v>
      </x:c>
      <x:c r="P43" s="62" t="n">
        <x:f>IF(OR(N43="",O43=""),"",2*N43*O43/(N43+O43))</x:f>
        <x:v>10.189649327113829</x:v>
      </x:c>
      <x:c r="Q43" t="str">
        <x:v>1시간_측정_자유열람실1_오열에서_3.jpg; 1시간_측정_자유열람실1_오열에서_4.jpg</x:v>
      </x:c>
      <x:c r="R43" t="str">
        <x:v>기존 Excel 대응</x:v>
      </x:c>
      <x:c r="S43" t="str"/>
    </x:row>
    <x:row r="44" ht="15" hidden="0" customHeight="1">
      <x:c r="A44" t="str">
        <x:v>FREE1_1H_R2</x:v>
      </x:c>
      <x:c r="B44" t="str">
        <x:v>일반</x:v>
      </x:c>
      <x:c r="C44" t="str">
        <x:v>오픈열람실2</x:v>
      </x:c>
      <x:c r="D44" t="str">
        <x:v>자유열람실1 AP</x:v>
      </x:c>
      <x:c r="E44" t="str">
        <x:v>고정</x:v>
      </x:c>
      <x:c r="F44" t="n">
        <x:v>60</x:v>
      </x:c>
      <x:c r="G44" t="n">
        <x:v>2</x:v>
      </x:c>
      <x:c r="H44" t="n">
        <x:v>43</x:v>
      </x:c>
      <x:c r="I44" s="62" t="n">
        <x:v>-75</x:v>
      </x:c>
      <x:c r="J44" s="62" t="n">
        <x:v>390</x:v>
      </x:c>
      <x:c r="K44" s="62" t="n">
        <x:v>19</x:v>
      </x:c>
      <x:c r="L44" s="62" t="n">
        <x:v>4</x:v>
      </x:c>
      <x:c r="M44" s="62" t="n">
        <x:v>0</x:v>
      </x:c>
      <x:c r="N44" s="62" t="n">
        <x:v>10.4581</x:v>
      </x:c>
      <x:c r="O44" s="62" t="n">
        <x:v>3.9558</x:v>
      </x:c>
      <x:c r="P44" s="62" t="n">
        <x:f>IF(OR(N44="",O44=""),"",2*N44*O44/(N44+O44))</x:f>
        <x:v>5.740313444661057</x:v>
      </x:c>
      <x:c r="Q44" t="str">
        <x:v>1시간_측정_자유열람실1_오열에서_3.jpg; 1시간_측정_자유열람실1_오열에서_4.jpg</x:v>
      </x:c>
      <x:c r="R44" t="str">
        <x:v>기존 Excel 대응</x:v>
      </x:c>
      <x:c r="S44" t="str"/>
    </x:row>
    <x:row r="45" ht="15" hidden="0" customHeight="1">
      <x:c r="A45" t="str">
        <x:v>FREE1_1H_R2</x:v>
      </x:c>
      <x:c r="B45" t="str">
        <x:v>일반</x:v>
      </x:c>
      <x:c r="C45" t="str">
        <x:v>오픈열람실2</x:v>
      </x:c>
      <x:c r="D45" t="str">
        <x:v>자유열람실1 AP</x:v>
      </x:c>
      <x:c r="E45" t="str">
        <x:v>고정</x:v>
      </x:c>
      <x:c r="F45" t="n">
        <x:v>60</x:v>
      </x:c>
      <x:c r="G45" t="n">
        <x:v>2</x:v>
      </x:c>
      <x:c r="H45" t="n">
        <x:v>44</x:v>
      </x:c>
      <x:c r="I45" s="62" t="n">
        <x:v>-71</x:v>
      </x:c>
      <x:c r="J45" s="62" t="n">
        <x:v>390</x:v>
      </x:c>
      <x:c r="K45" s="62" t="n">
        <x:v>10</x:v>
      </x:c>
      <x:c r="L45" s="62" t="n">
        <x:v>4</x:v>
      </x:c>
      <x:c r="M45" s="62" t="n">
        <x:v>0</x:v>
      </x:c>
      <x:c r="N45" s="62" t="n">
        <x:v>12.5581</x:v>
      </x:c>
      <x:c r="O45" s="62" t="n">
        <x:v>5.0172</x:v>
      </x:c>
      <x:c r="P45" s="62" t="n">
        <x:f>IF(OR(N45="",O45=""),"",2*N45*O45/(N45+O45))</x:f>
        <x:v>7.169891759457876</x:v>
      </x:c>
      <x:c r="Q45" t="str">
        <x:v>1시간_측정_자유열람실1_오열에서_3.jpg; 1시간_측정_자유열람실1_오열에서_4.jpg</x:v>
      </x:c>
      <x:c r="R45" t="str">
        <x:v>기존 Excel 대응</x:v>
      </x:c>
      <x:c r="S45" t="str"/>
    </x:row>
    <x:row r="46" ht="15" hidden="0" customHeight="1">
      <x:c r="A46" t="str">
        <x:v>FREE1_1H_R2</x:v>
      </x:c>
      <x:c r="B46" t="str">
        <x:v>일반</x:v>
      </x:c>
      <x:c r="C46" t="str">
        <x:v>오픈열람실2</x:v>
      </x:c>
      <x:c r="D46" t="str">
        <x:v>자유열람실1 AP</x:v>
      </x:c>
      <x:c r="E46" t="str">
        <x:v>고정</x:v>
      </x:c>
      <x:c r="F46" t="n">
        <x:v>60</x:v>
      </x:c>
      <x:c r="G46" t="n">
        <x:v>2</x:v>
      </x:c>
      <x:c r="H46" t="n">
        <x:v>45</x:v>
      </x:c>
      <x:c r="I46" s="62" t="n">
        <x:v>-77</x:v>
      </x:c>
      <x:c r="J46" s="62" t="n">
        <x:v>390</x:v>
      </x:c>
      <x:c r="K46" s="62" t="n">
        <x:v>11</x:v>
      </x:c>
      <x:c r="L46" s="62" t="n">
        <x:v>3</x:v>
      </x:c>
      <x:c r="M46" s="62" t="n">
        <x:v>0</x:v>
      </x:c>
      <x:c r="N46" s="62" t="n">
        <x:v>6.4877</x:v>
      </x:c>
      <x:c r="O46" s="62" t="n">
        <x:v>6.0633</x:v>
      </x:c>
      <x:c r="P46" s="62" t="n">
        <x:f>IF(OR(N46="",O46=""),"",2*N46*O46/(N46+O46))</x:f>
        <x:v>6.268324660983189</x:v>
      </x:c>
      <x:c r="Q46" t="str">
        <x:v>1시간_측정_자유열람실1_오열에서_3.jpg; 1시간_측정_자유열람실1_오열에서_4.jpg</x:v>
      </x:c>
      <x:c r="R46" t="str">
        <x:v>기존 Excel 대응</x:v>
      </x:c>
      <x:c r="S46" t="str"/>
    </x:row>
    <x:row r="47" ht="15" hidden="0" customHeight="1">
      <x:c r="A47" t="str">
        <x:v>FREE1_1H_R2</x:v>
      </x:c>
      <x:c r="B47" t="str">
        <x:v>일반</x:v>
      </x:c>
      <x:c r="C47" t="str">
        <x:v>오픈열람실2</x:v>
      </x:c>
      <x:c r="D47" t="str">
        <x:v>자유열람실1 AP</x:v>
      </x:c>
      <x:c r="E47" t="str">
        <x:v>고정</x:v>
      </x:c>
      <x:c r="F47" t="n">
        <x:v>60</x:v>
      </x:c>
      <x:c r="G47" t="n">
        <x:v>2</x:v>
      </x:c>
      <x:c r="H47" t="n">
        <x:v>46</x:v>
      </x:c>
      <x:c r="I47" s="62" t="n">
        <x:v>-72</x:v>
      </x:c>
      <x:c r="J47" s="62" t="n">
        <x:v>390</x:v>
      </x:c>
      <x:c r="K47" s="62" t="n">
        <x:v>12</x:v>
      </x:c>
      <x:c r="L47" s="62" t="n">
        <x:v>5</x:v>
      </x:c>
      <x:c r="M47" s="62" t="n">
        <x:v>0</x:v>
      </x:c>
      <x:c r="N47" s="62" t="n">
        <x:v>5.4381</x:v>
      </x:c>
      <x:c r="O47" s="62" t="n">
        <x:v>6.0796</x:v>
      </x:c>
      <x:c r="P47" s="62" t="n">
        <x:f>IF(OR(N47="",O47=""),"",2*N47*O47/(N47+O47))</x:f>
        <x:v>5.740985224480582</x:v>
      </x:c>
      <x:c r="Q47" t="str">
        <x:v>1시간_측정_자유열람실1_오열에서_3.jpg; 1시간_측정_자유열람실1_오열에서_4.jpg</x:v>
      </x:c>
      <x:c r="R47" t="str">
        <x:v>기존 Excel 대응</x:v>
      </x:c>
      <x:c r="S47" t="str"/>
    </x:row>
    <x:row r="48" ht="15" hidden="0" customHeight="1">
      <x:c r="A48" t="str">
        <x:v>FREE1_1H_R2</x:v>
      </x:c>
      <x:c r="B48" t="str">
        <x:v>일반</x:v>
      </x:c>
      <x:c r="C48" t="str">
        <x:v>오픈열람실2</x:v>
      </x:c>
      <x:c r="D48" t="str">
        <x:v>자유열람실1 AP</x:v>
      </x:c>
      <x:c r="E48" t="str">
        <x:v>고정</x:v>
      </x:c>
      <x:c r="F48" t="n">
        <x:v>60</x:v>
      </x:c>
      <x:c r="G48" t="n">
        <x:v>2</x:v>
      </x:c>
      <x:c r="H48" t="n">
        <x:v>47</x:v>
      </x:c>
      <x:c r="I48" s="62" t="n">
        <x:v>-76</x:v>
      </x:c>
      <x:c r="J48" s="62" t="n">
        <x:v>390</x:v>
      </x:c>
      <x:c r="K48" s="62" t="n">
        <x:v>10</x:v>
      </x:c>
      <x:c r="L48" s="62" t="n">
        <x:v>5</x:v>
      </x:c>
      <x:c r="M48" s="62" t="n">
        <x:v>0</x:v>
      </x:c>
      <x:c r="N48" s="62" t="n">
        <x:v>1.0393</x:v>
      </x:c>
      <x:c r="O48" s="62" t="n">
        <x:v>4.3907</x:v>
      </x:c>
      <x:c r="P48" s="62" t="n">
        <x:f>IF(OR(N48="",O48=""),"",2*N48*O48/(N48+O48))</x:f>
        <x:v>1.6807567255985265</x:v>
      </x:c>
      <x:c r="Q48" t="str">
        <x:v>1시간_측정_자유열람실1_오열에서_3.jpg; 1시간_측정_자유열람실1_오열에서_4.jpg</x:v>
      </x:c>
      <x:c r="R48" t="str">
        <x:v>기존 Excel 대응</x:v>
      </x:c>
      <x:c r="S48" t="str"/>
    </x:row>
    <x:row r="49" ht="15" hidden="0" customHeight="1">
      <x:c r="A49" t="str">
        <x:v>FREE1_1H_R2</x:v>
      </x:c>
      <x:c r="B49" t="str">
        <x:v>일반</x:v>
      </x:c>
      <x:c r="C49" t="str">
        <x:v>오픈열람실2</x:v>
      </x:c>
      <x:c r="D49" t="str">
        <x:v>자유열람실1 AP</x:v>
      </x:c>
      <x:c r="E49" t="str">
        <x:v>고정</x:v>
      </x:c>
      <x:c r="F49" t="n">
        <x:v>60</x:v>
      </x:c>
      <x:c r="G49" t="n">
        <x:v>2</x:v>
      </x:c>
      <x:c r="H49" t="n">
        <x:v>48</x:v>
      </x:c>
      <x:c r="I49" s="62" t="n">
        <x:v>-78</x:v>
      </x:c>
      <x:c r="J49" s="62" t="n">
        <x:v>390</x:v>
      </x:c>
      <x:c r="K49" s="62" t="n">
        <x:v>15</x:v>
      </x:c>
      <x:c r="L49" s="62" t="n">
        <x:v>3</x:v>
      </x:c>
      <x:c r="M49" s="62" t="n">
        <x:v>0</x:v>
      </x:c>
      <x:c r="N49" s="62" t="n">
        <x:v>14.635</x:v>
      </x:c>
      <x:c r="O49" s="62" t="n">
        <x:v>8.8023</x:v>
      </x:c>
      <x:c r="P49" s="62" t="n">
        <x:f>IF(OR(N49="",O49=""),"",2*N49*O49/(N49+O49))</x:f>
        <x:v>10.99287550187095</x:v>
      </x:c>
      <x:c r="Q49" t="str">
        <x:v>1시간_측정_자유열람실1_오열에서_3.jpg; 1시간_측정_자유열람실1_오열에서_4.jpg</x:v>
      </x:c>
      <x:c r="R49" t="str">
        <x:v>기존 Excel 대응</x:v>
      </x:c>
      <x:c r="S49" t="str"/>
    </x:row>
    <x:row r="50" ht="15" hidden="0" customHeight="1">
      <x:c r="A50" t="str">
        <x:v>FREE1_1H_R2</x:v>
      </x:c>
      <x:c r="B50" t="str">
        <x:v>일반</x:v>
      </x:c>
      <x:c r="C50" t="str">
        <x:v>오픈열람실2</x:v>
      </x:c>
      <x:c r="D50" t="str">
        <x:v>자유열람실1 AP</x:v>
      </x:c>
      <x:c r="E50" t="str">
        <x:v>고정</x:v>
      </x:c>
      <x:c r="F50" t="n">
        <x:v>60</x:v>
      </x:c>
      <x:c r="G50" t="n">
        <x:v>2</x:v>
      </x:c>
      <x:c r="H50" t="n">
        <x:v>49</x:v>
      </x:c>
      <x:c r="I50" s="62" t="n">
        <x:v>-75</x:v>
      </x:c>
      <x:c r="J50" s="62" t="n">
        <x:v>390</x:v>
      </x:c>
      <x:c r="K50" s="62" t="n">
        <x:v>13</x:v>
      </x:c>
      <x:c r="L50" s="62" t="n">
        <x:v>3</x:v>
      </x:c>
      <x:c r="M50" s="62" t="n">
        <x:v>0</x:v>
      </x:c>
      <x:c r="N50" s="62" t="n">
        <x:v>14.8344</x:v>
      </x:c>
      <x:c r="O50" s="62" t="n">
        <x:v>7.7507</x:v>
      </x:c>
      <x:c r="P50" s="62" t="n">
        <x:f>IF(OR(N50="",O50=""),"",2*N50*O50/(N50+O50))</x:f>
        <x:v>10.181667035346313</x:v>
      </x:c>
      <x:c r="Q50" t="str">
        <x:v>1시간_측정_자유열람실1_오열에서_3.jpg; 1시간_측정_자유열람실1_오열에서_4.jpg</x:v>
      </x:c>
      <x:c r="R50" t="str">
        <x:v>기존 Excel 대응</x:v>
      </x:c>
      <x:c r="S50" t="str"/>
    </x:row>
    <x:row r="51" ht="15" hidden="0" customHeight="1">
      <x:c r="A51" t="str">
        <x:v>FREE1_1H_R2</x:v>
      </x:c>
      <x:c r="B51" t="str">
        <x:v>일반</x:v>
      </x:c>
      <x:c r="C51" t="str">
        <x:v>오픈열람실2</x:v>
      </x:c>
      <x:c r="D51" t="str">
        <x:v>자유열람실1 AP</x:v>
      </x:c>
      <x:c r="E51" t="str">
        <x:v>고정</x:v>
      </x:c>
      <x:c r="F51" t="n">
        <x:v>60</x:v>
      </x:c>
      <x:c r="G51" t="n">
        <x:v>2</x:v>
      </x:c>
      <x:c r="H51" t="n">
        <x:v>50</x:v>
      </x:c>
      <x:c r="I51" s="62" t="n">
        <x:v>-77</x:v>
      </x:c>
      <x:c r="J51" s="62" t="n">
        <x:v>390</x:v>
      </x:c>
      <x:c r="K51" s="62" t="n">
        <x:v>12</x:v>
      </x:c>
      <x:c r="L51" s="62" t="n">
        <x:v>4</x:v>
      </x:c>
      <x:c r="M51" s="62" t="n">
        <x:v>0</x:v>
      </x:c>
      <x:c r="N51" s="62" t="n">
        <x:v>9.8344</x:v>
      </x:c>
      <x:c r="O51" s="62" t="n">
        <x:v>5.0147</x:v>
      </x:c>
      <x:c r="P51" s="62" t="n">
        <x:f>IF(OR(N51="",O51=""),"",2*N51*O51/(N51+O51))</x:f>
        <x:v>6.642364275275943</x:v>
      </x:c>
      <x:c r="Q51" t="str">
        <x:v>1시간_측정_자유열람실1_오열에서_3.jpg; 1시간_측정_자유열람실1_오열에서_4.jpg</x:v>
      </x:c>
      <x:c r="R51" t="str">
        <x:v>기존 Excel 대응</x:v>
      </x:c>
      <x:c r="S51" t="str"/>
    </x:row>
    <x:row r="52" ht="15" hidden="0" customHeight="1">
      <x:c r="A52" t="str">
        <x:v>FREE1_1H_R2</x:v>
      </x:c>
      <x:c r="B52" t="str">
        <x:v>일반</x:v>
      </x:c>
      <x:c r="C52" t="str">
        <x:v>오픈열람실2</x:v>
      </x:c>
      <x:c r="D52" t="str">
        <x:v>자유열람실1 AP</x:v>
      </x:c>
      <x:c r="E52" t="str">
        <x:v>고정</x:v>
      </x:c>
      <x:c r="F52" t="n">
        <x:v>60</x:v>
      </x:c>
      <x:c r="G52" t="n">
        <x:v>2</x:v>
      </x:c>
      <x:c r="H52" t="n">
        <x:v>51</x:v>
      </x:c>
      <x:c r="I52" s="62" t="n">
        <x:v>-74</x:v>
      </x:c>
      <x:c r="J52" s="62" t="n">
        <x:v>390</x:v>
      </x:c>
      <x:c r="K52" s="62" t="n">
        <x:v>15</x:v>
      </x:c>
      <x:c r="L52" s="62" t="n">
        <x:v>6</x:v>
      </x:c>
      <x:c r="M52" s="62" t="n">
        <x:v>0</x:v>
      </x:c>
      <x:c r="N52" s="62" t="n">
        <x:v>8.7894</x:v>
      </x:c>
      <x:c r="O52" s="62" t="n">
        <x:v>5.2299</x:v>
      </x:c>
      <x:c r="P52" s="62" t="n">
        <x:f>IF(OR(N52="",O52=""),"",2*N52*O52/(N52+O52))</x:f>
        <x:v>6.557771509276496</x:v>
      </x:c>
      <x:c r="Q52" t="str">
        <x:v>1시간_측정_자유열람실1_오열에서_3.jpg; 1시간_측정_자유열람실1_오열에서_4.jpg</x:v>
      </x:c>
      <x:c r="R52" t="str">
        <x:v>기존 Excel 대응</x:v>
      </x:c>
      <x:c r="S52" t="str"/>
    </x:row>
    <x:row r="53" ht="15" hidden="0" customHeight="1">
      <x:c r="A53" t="str">
        <x:v>FREE1_1H_R2</x:v>
      </x:c>
      <x:c r="B53" t="str">
        <x:v>일반</x:v>
      </x:c>
      <x:c r="C53" t="str">
        <x:v>오픈열람실2</x:v>
      </x:c>
      <x:c r="D53" t="str">
        <x:v>자유열람실1 AP</x:v>
      </x:c>
      <x:c r="E53" t="str">
        <x:v>고정</x:v>
      </x:c>
      <x:c r="F53" t="n">
        <x:v>60</x:v>
      </x:c>
      <x:c r="G53" t="n">
        <x:v>2</x:v>
      </x:c>
      <x:c r="H53" t="n">
        <x:v>52</x:v>
      </x:c>
      <x:c r="I53" s="62" t="n">
        <x:v>-70</x:v>
      </x:c>
      <x:c r="J53" s="62" t="n">
        <x:v>390</x:v>
      </x:c>
      <x:c r="K53" s="62" t="n">
        <x:v>9</x:v>
      </x:c>
      <x:c r="L53" s="62" t="n">
        <x:v>3</x:v>
      </x:c>
      <x:c r="M53" s="62" t="n">
        <x:v>0</x:v>
      </x:c>
      <x:c r="N53" s="62" t="n">
        <x:v>10.0457</x:v>
      </x:c>
      <x:c r="O53" s="62" t="n">
        <x:v>5.6343</x:v>
      </x:c>
      <x:c r="P53" s="62" t="n">
        <x:f>IF(OR(N53="",O53=""),"",2*N53*O53/(N53+O53))</x:f>
        <x:v>7.219449937499999</x:v>
      </x:c>
      <x:c r="Q53" t="str">
        <x:v>1시간_측정_자유열람실1_오열에서_3.jpg; 1시간_측정_자유열람실1_오열에서_4.jpg</x:v>
      </x:c>
      <x:c r="R53" t="str">
        <x:v>기존 Excel 대응</x:v>
      </x:c>
      <x:c r="S53" t="str"/>
    </x:row>
    <x:row r="54" ht="15" hidden="0" customHeight="1">
      <x:c r="A54" t="str">
        <x:v>FREE1_1H_R2</x:v>
      </x:c>
      <x:c r="B54" t="str">
        <x:v>일반</x:v>
      </x:c>
      <x:c r="C54" t="str">
        <x:v>오픈열람실2</x:v>
      </x:c>
      <x:c r="D54" t="str">
        <x:v>자유열람실1 AP</x:v>
      </x:c>
      <x:c r="E54" t="str">
        <x:v>고정</x:v>
      </x:c>
      <x:c r="F54" t="n">
        <x:v>60</x:v>
      </x:c>
      <x:c r="G54" t="n">
        <x:v>2</x:v>
      </x:c>
      <x:c r="H54" t="n">
        <x:v>53</x:v>
      </x:c>
      <x:c r="I54" s="62" t="n">
        <x:v>-77</x:v>
      </x:c>
      <x:c r="J54" s="62" t="n">
        <x:v>458.75</x:v>
      </x:c>
      <x:c r="K54" s="62" t="n">
        <x:v>16</x:v>
      </x:c>
      <x:c r="L54" s="62" t="n">
        <x:v>20</x:v>
      </x:c>
      <x:c r="M54" s="62" t="n">
        <x:v>0</x:v>
      </x:c>
      <x:c r="N54" s="62" t="n">
        <x:v>7.1139</x:v>
      </x:c>
      <x:c r="O54" s="62" t="n">
        <x:v>0.6272</x:v>
      </x:c>
      <x:c r="P54" s="62" t="n">
        <x:f>IF(OR(N54="",O54=""),"",2*N54*O54/(N54+O54))</x:f>
        <x:v>1.152765906654093</x:v>
      </x:c>
      <x:c r="Q54" t="str">
        <x:v>1시간_측정_자유열람실1_오열에서_3.jpg; 1시간_측정_자유열람실1_오열에서_4.jpg</x:v>
      </x:c>
      <x:c r="R54" t="str">
        <x:v>기존 Excel 대응</x:v>
      </x:c>
      <x:c r="S54" t="str"/>
    </x:row>
    <x:row r="55" ht="15" hidden="0" customHeight="1">
      <x:c r="A55" t="str">
        <x:v>FREE1_1H_R2</x:v>
      </x:c>
      <x:c r="B55" t="str">
        <x:v>일반</x:v>
      </x:c>
      <x:c r="C55" t="str">
        <x:v>오픈열람실2</x:v>
      </x:c>
      <x:c r="D55" t="str">
        <x:v>자유열람실1 AP</x:v>
      </x:c>
      <x:c r="E55" t="str">
        <x:v>고정</x:v>
      </x:c>
      <x:c r="F55" t="n">
        <x:v>60</x:v>
      </x:c>
      <x:c r="G55" t="n">
        <x:v>2</x:v>
      </x:c>
      <x:c r="H55" t="n">
        <x:v>54</x:v>
      </x:c>
      <x:c r="I55" s="62" t="n">
        <x:v>-77</x:v>
      </x:c>
      <x:c r="J55" s="62" t="n">
        <x:v>390</x:v>
      </x:c>
      <x:c r="K55" s="62" t="n">
        <x:v>8</x:v>
      </x:c>
      <x:c r="L55" s="62" t="n">
        <x:v>3</x:v>
      </x:c>
      <x:c r="M55" s="62" t="n">
        <x:v>0</x:v>
      </x:c>
      <x:c r="N55" s="62" t="n">
        <x:v>10.4593</x:v>
      </x:c>
      <x:c r="O55" s="62" t="n">
        <x:v>6.9163</x:v>
      </x:c>
      <x:c r="P55" s="62" t="n">
        <x:f>IF(OR(N55="",O55=""),"",2*N55*O55/(N55+O55))</x:f>
        <x:v>8.326579409056379</x:v>
      </x:c>
      <x:c r="Q55" t="str">
        <x:v>1시간_측정_자유열람실1_오열에서_3.jpg; 1시간_측정_자유열람실1_오열에서_4.jpg</x:v>
      </x:c>
      <x:c r="R55" t="str">
        <x:v>기존 Excel 대응</x:v>
      </x:c>
      <x:c r="S55" t="str"/>
    </x:row>
    <x:row r="56" ht="15" hidden="0" customHeight="1">
      <x:c r="A56" t="str">
        <x:v>FREE1_1H_R2</x:v>
      </x:c>
      <x:c r="B56" t="str">
        <x:v>일반</x:v>
      </x:c>
      <x:c r="C56" t="str">
        <x:v>오픈열람실2</x:v>
      </x:c>
      <x:c r="D56" t="str">
        <x:v>자유열람실1 AP</x:v>
      </x:c>
      <x:c r="E56" t="str">
        <x:v>고정</x:v>
      </x:c>
      <x:c r="F56" t="n">
        <x:v>60</x:v>
      </x:c>
      <x:c r="G56" t="n">
        <x:v>2</x:v>
      </x:c>
      <x:c r="H56" t="n">
        <x:v>55</x:v>
      </x:c>
      <x:c r="I56" s="62" t="n">
        <x:v>-74</x:v>
      </x:c>
      <x:c r="J56" s="62" t="n">
        <x:v>390</x:v>
      </x:c>
      <x:c r="K56" s="62" t="n">
        <x:v>9</x:v>
      </x:c>
      <x:c r="L56" s="62" t="n">
        <x:v>3</x:v>
      </x:c>
      <x:c r="M56" s="62" t="n">
        <x:v>0</x:v>
      </x:c>
      <x:c r="N56" s="62" t="n">
        <x:v>9.2148</x:v>
      </x:c>
      <x:c r="O56" s="62" t="n">
        <x:v>9.0058</x:v>
      </x:c>
      <x:c r="P56" s="62" t="n">
        <x:f>IF(OR(N56="",O56=""),"",2*N56*O56/(N56+O56))</x:f>
        <x:v>9.109101329264679</x:v>
      </x:c>
      <x:c r="Q56" t="str">
        <x:v>1시간_측정_자유열람실1_오열에서_3.jpg; 1시간_측정_자유열람실1_오열에서_4.jpg</x:v>
      </x:c>
      <x:c r="R56" t="str">
        <x:v>기존 Excel 대응</x:v>
      </x:c>
      <x:c r="S56" t="str"/>
    </x:row>
    <x:row r="57" ht="15" hidden="0" customHeight="1">
      <x:c r="A57" t="str">
        <x:v>FREE1_1H_R2</x:v>
      </x:c>
      <x:c r="B57" t="str">
        <x:v>일반</x:v>
      </x:c>
      <x:c r="C57" t="str">
        <x:v>오픈열람실2</x:v>
      </x:c>
      <x:c r="D57" t="str">
        <x:v>자유열람실1 AP</x:v>
      </x:c>
      <x:c r="E57" t="str">
        <x:v>고정</x:v>
      </x:c>
      <x:c r="F57" t="n">
        <x:v>60</x:v>
      </x:c>
      <x:c r="G57" t="n">
        <x:v>2</x:v>
      </x:c>
      <x:c r="H57" t="n">
        <x:v>56</x:v>
      </x:c>
      <x:c r="I57" s="62" t="n">
        <x:v>-77</x:v>
      </x:c>
      <x:c r="J57" s="62" t="n">
        <x:v>390</x:v>
      </x:c>
      <x:c r="K57" s="62" t="n">
        <x:v>9</x:v>
      </x:c>
      <x:c r="L57" s="62" t="n">
        <x:v>7</x:v>
      </x:c>
      <x:c r="M57" s="62" t="n">
        <x:v>0</x:v>
      </x:c>
      <x:c r="N57" s="62" t="n">
        <x:v>14.2109</x:v>
      </x:c>
      <x:c r="O57" s="62" t="n">
        <x:v>10.6887</x:v>
      </x:c>
      <x:c r="P57" s="62" t="n">
        <x:f>IF(OR(N57="",O57=""),"",2*N57*O57/(N57+O57))</x:f>
        <x:v>12.200681684043118</x:v>
      </x:c>
      <x:c r="Q57" t="str">
        <x:v>1시간_측정_자유열람실1_오열에서_3.jpg; 1시간_측정_자유열람실1_오열에서_4.jpg</x:v>
      </x:c>
      <x:c r="R57" t="str">
        <x:v>기존 Excel 대응</x:v>
      </x:c>
      <x:c r="S57" t="str"/>
    </x:row>
    <x:row r="58" ht="15" hidden="0" customHeight="1">
      <x:c r="A58" t="str">
        <x:v>FREE1_1H_R2</x:v>
      </x:c>
      <x:c r="B58" t="str">
        <x:v>일반</x:v>
      </x:c>
      <x:c r="C58" t="str">
        <x:v>오픈열람실2</x:v>
      </x:c>
      <x:c r="D58" t="str">
        <x:v>자유열람실1 AP</x:v>
      </x:c>
      <x:c r="E58" t="str">
        <x:v>고정</x:v>
      </x:c>
      <x:c r="F58" t="n">
        <x:v>60</x:v>
      </x:c>
      <x:c r="G58" t="n">
        <x:v>2</x:v>
      </x:c>
      <x:c r="H58" t="n">
        <x:v>57</x:v>
      </x:c>
      <x:c r="I58" s="62" t="n">
        <x:v>-77</x:v>
      </x:c>
      <x:c r="J58" s="62" t="n">
        <x:v>390</x:v>
      </x:c>
      <x:c r="K58" s="62" t="n">
        <x:v>21</x:v>
      </x:c>
      <x:c r="L58" s="62" t="n">
        <x:v>3</x:v>
      </x:c>
      <x:c r="M58" s="62" t="n">
        <x:v>0</x:v>
      </x:c>
      <x:c r="N58" s="62" t="n">
        <x:v>16.9584</x:v>
      </x:c>
      <x:c r="O58" s="62" t="n">
        <x:v>10.4706</x:v>
      </x:c>
      <x:c r="P58" s="62" t="n">
        <x:f>IF(OR(N58="",O58=""),"",2*N58*O58/(N58+O58))</x:f>
        <x:v>12.94721812971672</x:v>
      </x:c>
      <x:c r="Q58" t="str">
        <x:v>1시간_측정_자유열람실1_오열에서_3.jpg; 1시간_측정_자유열람실1_오열에서_4.jpg</x:v>
      </x:c>
      <x:c r="R58" t="str">
        <x:v>기존 Excel 대응</x:v>
      </x:c>
      <x:c r="S58" t="str"/>
    </x:row>
    <x:row r="59" ht="15" hidden="0" customHeight="1">
      <x:c r="A59" t="str">
        <x:v>FREE1_1H_R2</x:v>
      </x:c>
      <x:c r="B59" t="str">
        <x:v>일반</x:v>
      </x:c>
      <x:c r="C59" t="str">
        <x:v>오픈열람실2</x:v>
      </x:c>
      <x:c r="D59" t="str">
        <x:v>자유열람실1 AP</x:v>
      </x:c>
      <x:c r="E59" t="str">
        <x:v>고정</x:v>
      </x:c>
      <x:c r="F59" t="n">
        <x:v>60</x:v>
      </x:c>
      <x:c r="G59" t="n">
        <x:v>2</x:v>
      </x:c>
      <x:c r="H59" t="n">
        <x:v>58</x:v>
      </x:c>
      <x:c r="I59" s="62" t="n">
        <x:v>-75</x:v>
      </x:c>
      <x:c r="J59" s="62" t="n">
        <x:v>390</x:v>
      </x:c>
      <x:c r="K59" s="62" t="n">
        <x:v>5</x:v>
      </x:c>
      <x:c r="L59" s="62" t="n">
        <x:v>6</x:v>
      </x:c>
      <x:c r="M59" s="62" t="n">
        <x:v>0</x:v>
      </x:c>
      <x:c r="N59" s="62" t="n">
        <x:v>11.5158</x:v>
      </x:c>
      <x:c r="O59" s="62" t="n">
        <x:v>7.3236</x:v>
      </x:c>
      <x:c r="P59" s="62" t="n">
        <x:f>IF(OR(N59="",O59=""),"",2*N59*O59/(N59+O59))</x:f>
        <x:v>8.953269518137521</x:v>
      </x:c>
      <x:c r="Q59" t="str">
        <x:v>1시간_측정_자유열람실1_오열에서_3.jpg; 1시간_측정_자유열람실1_오열에서_4.jpg</x:v>
      </x:c>
      <x:c r="R59" t="str">
        <x:v>기존 Excel 대응</x:v>
      </x:c>
      <x:c r="S59" t="str"/>
    </x:row>
    <x:row r="60" ht="15" hidden="0" customHeight="1">
      <x:c r="A60" t="str">
        <x:v>FREE1_1H_R2</x:v>
      </x:c>
      <x:c r="B60" t="str">
        <x:v>일반</x:v>
      </x:c>
      <x:c r="C60" t="str">
        <x:v>오픈열람실2</x:v>
      </x:c>
      <x:c r="D60" t="str">
        <x:v>자유열람실1 AP</x:v>
      </x:c>
      <x:c r="E60" t="str">
        <x:v>고정</x:v>
      </x:c>
      <x:c r="F60" t="n">
        <x:v>60</x:v>
      </x:c>
      <x:c r="G60" t="n">
        <x:v>2</x:v>
      </x:c>
      <x:c r="H60" t="n">
        <x:v>59</x:v>
      </x:c>
      <x:c r="I60" s="62" t="n">
        <x:v>-72</x:v>
      </x:c>
      <x:c r="J60" s="62" t="n">
        <x:v>390</x:v>
      </x:c>
      <x:c r="K60" s="62" t="n">
        <x:v>8</x:v>
      </x:c>
      <x:c r="L60" s="62" t="n">
        <x:v>3</x:v>
      </x:c>
      <x:c r="M60" s="62" t="n">
        <x:v>0</x:v>
      </x:c>
      <x:c r="N60" s="62" t="n">
        <x:v>12.548</x:v>
      </x:c>
      <x:c r="O60" s="62" t="n">
        <x:v>8.2812</x:v>
      </x:c>
      <x:c r="P60" s="62" t="n">
        <x:f>IF(OR(N60="",O60=""),"",2*N60*O60/(N60+O60))</x:f>
        <x:v>9.977579321337354</x:v>
      </x:c>
      <x:c r="Q60" t="str">
        <x:v>1시간_측정_자유열람실1_오열에서_3.jpg; 1시간_측정_자유열람실1_오열에서_4.jpg</x:v>
      </x:c>
      <x:c r="R60" t="str">
        <x:v>기존 Excel 대응</x:v>
      </x:c>
      <x:c r="S60" t="str"/>
    </x:row>
    <x:row r="61" ht="15" hidden="0" customHeight="1">
      <x:c r="A61" t="str">
        <x:v>FREE1_1H_R2</x:v>
      </x:c>
      <x:c r="B61" t="str">
        <x:v>일반</x:v>
      </x:c>
      <x:c r="C61" t="str">
        <x:v>오픈열람실2</x:v>
      </x:c>
      <x:c r="D61" t="str">
        <x:v>자유열람실1 AP</x:v>
      </x:c>
      <x:c r="E61" t="str">
        <x:v>고정</x:v>
      </x:c>
      <x:c r="F61" t="n">
        <x:v>60</x:v>
      </x:c>
      <x:c r="G61" t="n">
        <x:v>2</x:v>
      </x:c>
      <x:c r="H61" t="n">
        <x:v>60</x:v>
      </x:c>
      <x:c r="I61" s="62" t="n">
        <x:v>-77</x:v>
      </x:c>
      <x:c r="J61" s="62" t="n">
        <x:v>390</x:v>
      </x:c>
      <x:c r="K61" s="62" t="n">
        <x:v>11</x:v>
      </x:c>
      <x:c r="L61" s="62" t="n">
        <x:v>3</x:v>
      </x:c>
      <x:c r="M61" s="62" t="n">
        <x:v>0</x:v>
      </x:c>
      <x:c r="N61" s="62" t="n">
        <x:v>13.5974</x:v>
      </x:c>
      <x:c r="O61" s="62" t="n">
        <x:v>7.1243</x:v>
      </x:c>
      <x:c r="P61" s="62" t="n">
        <x:f>IF(OR(N61="",O61=""),"",2*N61*O61/(N61+O61))</x:f>
        <x:v>9.349807865184806</x:v>
      </x:c>
      <x:c r="Q61" t="str">
        <x:v>1시간_측정_자유열람실1_오열에서_3.jpg; 1시간_측정_자유열람실1_오열에서_4.jpg</x:v>
      </x:c>
      <x:c r="R61" t="str">
        <x:v>기존 Excel 대응</x:v>
      </x:c>
      <x:c r="S61" t="str"/>
    </x:row>
    <x:row r="62" ht="15" hidden="0" customHeight="1">
      <x:c r="A62" t="str">
        <x:v>FREE1_1H_R2</x:v>
      </x:c>
      <x:c r="B62" t="str">
        <x:v>일반</x:v>
      </x:c>
      <x:c r="C62" t="str">
        <x:v>오픈열람실2</x:v>
      </x:c>
      <x:c r="D62" t="str">
        <x:v>자유열람실1 AP</x:v>
      </x:c>
      <x:c r="E62" t="str">
        <x:v>고정</x:v>
      </x:c>
      <x:c r="F62" t="n">
        <x:v>60</x:v>
      </x:c>
      <x:c r="G62" t="n">
        <x:v>2</x:v>
      </x:c>
      <x:c r="H62" t="n">
        <x:v>61</x:v>
      </x:c>
      <x:c r="I62" s="62" t="n">
        <x:v>-72</x:v>
      </x:c>
      <x:c r="J62" s="62" t="n">
        <x:v>390</x:v>
      </x:c>
      <x:c r="K62" s="62" t="n">
        <x:v>5</x:v>
      </x:c>
      <x:c r="L62" s="62" t="n">
        <x:v>3</x:v>
      </x:c>
      <x:c r="M62" s="62" t="n">
        <x:v>0</x:v>
      </x:c>
      <x:c r="N62" s="62" t="n">
        <x:v>6.7142</x:v>
      </x:c>
      <x:c r="O62" s="62" t="n">
        <x:v>6.4864</x:v>
      </x:c>
      <x:c r="P62" s="62" t="n">
        <x:f>IF(OR(N62="",O62=""),"",2*N62*O62/(N62+O62))</x:f>
        <x:v>6.598334451464327</x:v>
      </x:c>
      <x:c r="Q62" t="str">
        <x:v>1시간_측정_자유열람실1_오열에서_3.jpg; 1시간_측정_자유열람실1_오열에서_4.jpg</x:v>
      </x:c>
      <x:c r="R62" t="str">
        <x:v>기존 Excel 대응</x:v>
      </x:c>
      <x:c r="S62" t="str"/>
    </x:row>
    <x:row r="63" ht="15" hidden="0" customHeight="1">
      <x:c r="A63" t="str">
        <x:v>FREE1_1H_R2</x:v>
      </x:c>
      <x:c r="B63" t="str">
        <x:v>일반</x:v>
      </x:c>
      <x:c r="C63" t="str">
        <x:v>오픈열람실2</x:v>
      </x:c>
      <x:c r="D63" t="str">
        <x:v>자유열람실1 AP</x:v>
      </x:c>
      <x:c r="E63" t="str">
        <x:v>고정</x:v>
      </x:c>
      <x:c r="F63" t="n">
        <x:v>60</x:v>
      </x:c>
      <x:c r="G63" t="n">
        <x:v>2</x:v>
      </x:c>
      <x:c r="H63" t="n">
        <x:v>62</x:v>
      </x:c>
      <x:c r="I63" s="62" t="n">
        <x:v>-77</x:v>
      </x:c>
      <x:c r="J63" s="62" t="n">
        <x:v>390</x:v>
      </x:c>
      <x:c r="K63" s="62" t="n">
        <x:v>7</x:v>
      </x:c>
      <x:c r="L63" s="62" t="n">
        <x:v>5</x:v>
      </x:c>
      <x:c r="M63" s="62" t="n">
        <x:v>0</x:v>
      </x:c>
      <x:c r="N63" s="62" t="n">
        <x:v>6.4832</x:v>
      </x:c>
      <x:c r="O63" s="62" t="n">
        <x:v>6.6879</x:v>
      </x:c>
      <x:c r="P63" s="62" t="n">
        <x:f>IF(OR(N63="",O63=""),"",2*N63*O63/(N63+O63))</x:f>
        <x:v>6.5839593169894695</x:v>
      </x:c>
      <x:c r="Q63" t="str">
        <x:v>1시간_측정_자유열람실1_오열에서_3.jpg; 1시간_측정_자유열람실1_오열에서_4.jpg</x:v>
      </x:c>
      <x:c r="R63" t="str">
        <x:v>기존 Excel 대응</x:v>
      </x:c>
      <x:c r="S63" t="str"/>
    </x:row>
    <x:row r="64" ht="15" hidden="0" customHeight="1">
      <x:c r="A64" t="str">
        <x:v>FREE1_1H_R2</x:v>
      </x:c>
      <x:c r="B64" t="str">
        <x:v>일반</x:v>
      </x:c>
      <x:c r="C64" t="str">
        <x:v>오픈열람실2</x:v>
      </x:c>
      <x:c r="D64" t="str">
        <x:v>자유열람실1 AP</x:v>
      </x:c>
      <x:c r="E64" t="str">
        <x:v>고정</x:v>
      </x:c>
      <x:c r="F64" t="n">
        <x:v>60</x:v>
      </x:c>
      <x:c r="G64" t="n">
        <x:v>2</x:v>
      </x:c>
      <x:c r="H64" t="n">
        <x:v>63</x:v>
      </x:c>
      <x:c r="I64" s="62" t="n">
        <x:v>-77</x:v>
      </x:c>
      <x:c r="J64" s="62" t="n">
        <x:v>458.75</x:v>
      </x:c>
      <x:c r="K64" s="62" t="n">
        <x:v>8</x:v>
      </x:c>
      <x:c r="L64" s="62" t="n">
        <x:v>8</x:v>
      </x:c>
      <x:c r="M64" s="62" t="n">
        <x:v>0</x:v>
      </x:c>
      <x:c r="N64" s="62" t="n">
        <x:v>5.4466</x:v>
      </x:c>
      <x:c r="O64" s="62" t="n">
        <x:v>7.3181</x:v>
      </x:c>
      <x:c r="P64" s="62" t="n">
        <x:f>IF(OR(N64="",O64=""),"",2*N64*O64/(N64+O64))</x:f>
        <x:v>6.245154756476847</x:v>
      </x:c>
      <x:c r="Q64" t="str">
        <x:v>1시간_측정_자유열람실1_오열에서_3.jpg; 1시간_측정_자유열람실1_오열에서_4.jpg</x:v>
      </x:c>
      <x:c r="R64" t="str">
        <x:v>기존 Excel 대응</x:v>
      </x:c>
      <x:c r="S64" t="str"/>
    </x:row>
    <x:row r="65" ht="15" hidden="0" customHeight="1">
      <x:c r="A65" t="str">
        <x:v>FREE1_1H_R2</x:v>
      </x:c>
      <x:c r="B65" t="str">
        <x:v>일반</x:v>
      </x:c>
      <x:c r="C65" t="str">
        <x:v>오픈열람실2</x:v>
      </x:c>
      <x:c r="D65" t="str">
        <x:v>자유열람실1 AP</x:v>
      </x:c>
      <x:c r="E65" t="str">
        <x:v>고정</x:v>
      </x:c>
      <x:c r="F65" t="n">
        <x:v>60</x:v>
      </x:c>
      <x:c r="G65" t="n">
        <x:v>2</x:v>
      </x:c>
      <x:c r="H65" t="n">
        <x:v>64</x:v>
      </x:c>
      <x:c r="I65" s="62" t="n">
        <x:v>-72</x:v>
      </x:c>
      <x:c r="J65" s="62" t="n">
        <x:v>390</x:v>
      </x:c>
      <x:c r="K65" s="62" t="n">
        <x:v>8</x:v>
      </x:c>
      <x:c r="L65" s="62" t="n">
        <x:v>5</x:v>
      </x:c>
      <x:c r="M65" s="62" t="n">
        <x:v>0</x:v>
      </x:c>
      <x:c r="N65" s="62" t="n">
        <x:v>9.8312</x:v>
      </x:c>
      <x:c r="O65" s="62" t="n">
        <x:v>8.5989</x:v>
      </x:c>
      <x:c r="P65" s="62" t="n">
        <x:f>IF(OR(N65="",O65=""),"",2*N65*O65/(N65+O65))</x:f>
        <x:v>9.173852087617538</x:v>
      </x:c>
      <x:c r="Q65" t="str">
        <x:v>1시간_측정_자유열람실1_오열에서_3.jpg; 1시간_측정_자유열람실1_오열에서_4.jpg</x:v>
      </x:c>
      <x:c r="R65" t="str">
        <x:v>기존 Excel 대응</x:v>
      </x:c>
      <x:c r="S65" t="str"/>
    </x:row>
    <x:row r="66" ht="15" hidden="0" customHeight="1">
      <x:c r="A66" t="str">
        <x:v>FREE1_1H_R2</x:v>
      </x:c>
      <x:c r="B66" t="str">
        <x:v>일반</x:v>
      </x:c>
      <x:c r="C66" t="str">
        <x:v>오픈열람실2</x:v>
      </x:c>
      <x:c r="D66" t="str">
        <x:v>자유열람실1 AP</x:v>
      </x:c>
      <x:c r="E66" t="str">
        <x:v>고정</x:v>
      </x:c>
      <x:c r="F66" t="n">
        <x:v>60</x:v>
      </x:c>
      <x:c r="G66" t="n">
        <x:v>2</x:v>
      </x:c>
      <x:c r="H66" t="n">
        <x:v>65</x:v>
      </x:c>
      <x:c r="I66" s="62" t="n">
        <x:v>-78</x:v>
      </x:c>
      <x:c r="J66" s="62" t="n">
        <x:v>390</x:v>
      </x:c>
      <x:c r="K66" s="62" t="n">
        <x:v>11</x:v>
      </x:c>
      <x:c r="L66" s="62" t="n">
        <x:v>4</x:v>
      </x:c>
      <x:c r="M66" s="62" t="n">
        <x:v>0</x:v>
      </x:c>
      <x:c r="N66" s="62" t="n">
        <x:v>13.8371</x:v>
      </x:c>
      <x:c r="O66" s="62" t="n">
        <x:v>8.1681</x:v>
      </x:c>
      <x:c r="P66" s="62" t="n">
        <x:f>IF(OR(N66="",O66=""),"",2*N66*O66/(N66+O66))</x:f>
        <x:v>10.272373485358006</x:v>
      </x:c>
      <x:c r="Q66" t="str">
        <x:v>1시간_측정_자유열람실1_오열에서_3.jpg; 1시간_측정_자유열람실1_오열에서_4.jpg</x:v>
      </x:c>
      <x:c r="R66" t="str">
        <x:v>기존 Excel 대응</x:v>
      </x:c>
      <x:c r="S66" t="str"/>
    </x:row>
    <x:row r="67" ht="15" hidden="0" customHeight="1">
      <x:c r="A67" t="str">
        <x:v>FREE1_1H_R2</x:v>
      </x:c>
      <x:c r="B67" t="str">
        <x:v>일반</x:v>
      </x:c>
      <x:c r="C67" t="str">
        <x:v>오픈열람실2</x:v>
      </x:c>
      <x:c r="D67" t="str">
        <x:v>자유열람실1 AP</x:v>
      </x:c>
      <x:c r="E67" t="str">
        <x:v>고정</x:v>
      </x:c>
      <x:c r="F67" t="n">
        <x:v>60</x:v>
      </x:c>
      <x:c r="G67" t="n">
        <x:v>2</x:v>
      </x:c>
      <x:c r="H67" t="n">
        <x:v>66</x:v>
      </x:c>
      <x:c r="I67" s="62" t="n">
        <x:v>-76</x:v>
      </x:c>
      <x:c r="J67" s="62" t="n">
        <x:v>390</x:v>
      </x:c>
      <x:c r="K67" s="62" t="n">
        <x:v>6</x:v>
      </x:c>
      <x:c r="L67" s="62" t="n">
        <x:v>4</x:v>
      </x:c>
      <x:c r="M67" s="62" t="n">
        <x:v>0</x:v>
      </x:c>
      <x:c r="N67" s="62" t="n">
        <x:v>12.7484</x:v>
      </x:c>
      <x:c r="O67" s="62" t="n">
        <x:v>4.6089</x:v>
      </x:c>
      <x:c r="P67" s="62" t="n">
        <x:f>IF(OR(N67="",O67=""),"",2*N67*O67/(N67+O67))</x:f>
        <x:v>6.770188999441157</x:v>
      </x:c>
      <x:c r="Q67" t="str">
        <x:v>1시간_측정_자유열람실1_오열에서_3.jpg; 1시간_측정_자유열람실1_오열에서_4.jpg</x:v>
      </x:c>
      <x:c r="R67" t="str">
        <x:v>기존 Excel 대응</x:v>
      </x:c>
      <x:c r="S67" t="str"/>
    </x:row>
  </x:sheetData>
  <x:pageMargins left="0.7" right="0.7" top="0.75" bottom="0.75" header="0.3" footer="0.3"/>
  <x:tableParts count="1">
    <x:tablePart xmlns:r="http://schemas.openxmlformats.org/officeDocument/2006/relationships" r:id="R624d77e11f224da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20" hidden="0" customWidth="1"/>
    <x:col min="5" max="5" width="12" hidden="0" customWidth="1"/>
    <x:col min="6" max="6" width="12" hidden="0" customWidth="1"/>
    <x:col min="7" max="7" width="9" hidden="0" customWidth="1"/>
    <x:col min="8" max="8" width="14" hidden="0" customWidth="1"/>
    <x:col min="9" max="9" width="12" hidden="0" customWidth="1"/>
    <x:col min="10" max="10" width="12" hidden="0" customWidth="1"/>
    <x:col min="11" max="11" width="13" hidden="0" customWidth="1"/>
    <x:col min="12" max="12" width="12" hidden="0" customWidth="1"/>
    <x:col min="13" max="13" width="18" hidden="0" customWidth="1"/>
    <x:col min="14" max="14" width="14" hidden="0" customWidth="1"/>
    <x:col min="15" max="15" width="16" hidden="0" customWidth="1"/>
    <x:col min="16" max="16" width="17" hidden="0" customWidth="1"/>
    <x:col min="17" max="17" width="42" hidden="0" customWidth="1"/>
    <x:col min="18" max="18" width="22" hidden="0" customWidth="1"/>
    <x:col min="19" max="19" width="34" hidden="0" customWidth="1"/>
  </x:cols>
  <x:sheetData>
    <x:row r="1" ht="15" hidden="0" customHeight="1">
      <x:c r="A1" s="6" t="str">
        <x:v>측정세트_ID</x:v>
      </x:c>
      <x:c r="B1" s="6" t="str">
        <x:v>상태</x:v>
      </x:c>
      <x:c r="C1" s="6" t="str">
        <x:v>측정 위치</x:v>
      </x:c>
      <x:c r="D1" s="6" t="str">
        <x:v>대상 AP 구역</x:v>
      </x:c>
      <x:c r="E1" s="6" t="str">
        <x:v>측정 형태</x:v>
      </x:c>
      <x:c r="F1" s="6" t="str">
        <x:v>측정시간_min</x:v>
      </x:c>
      <x:c r="G1" s="6" t="str">
        <x:v>반복</x:v>
      </x:c>
      <x:c r="H1" s="6" t="str">
        <x:v>세트내_측정번호</x:v>
      </x:c>
      <x:c r="I1" s="6" t="str">
        <x:v>RSSI_dBm</x:v>
      </x:c>
      <x:c r="J1" s="6" t="str">
        <x:v>Link_Mbps</x:v>
      </x:c>
      <x:c r="K1" s="6" t="str">
        <x:v>UTIL_percent</x:v>
      </x:c>
      <x:c r="L1" s="6" t="str">
        <x:v>RTT_ms</x:v>
      </x:c>
      <x:c r="M1" s="6" t="str">
        <x:v>PacketLoss_percent</x:v>
      </x:c>
      <x:c r="N1" s="6" t="str">
        <x:v>Upload_Mbps</x:v>
      </x:c>
      <x:c r="O1" s="6" t="str">
        <x:v>Download_Mbps</x:v>
      </x:c>
      <x:c r="P1" s="6" t="str">
        <x:v>Effective_Mbps</x:v>
      </x:c>
      <x:c r="Q1" s="6" t="str">
        <x:v>원본 이미지</x:v>
      </x:c>
      <x:c r="R1" s="6" t="str">
        <x:v>데이터 출처</x:v>
      </x:c>
      <x:c r="S1" s="6" t="str">
        <x:v>검토 메모</x:v>
      </x:c>
    </x:row>
    <x:row r="2" ht="15" hidden="0" customHeight="1">
      <x:c r="A2" t="str">
        <x:v>MOVE_OPEN2_1H_R1</x:v>
      </x:c>
      <x:c r="B2" t="str">
        <x:v>이동</x:v>
      </x:c>
      <x:c r="C2" t="str">
        <x:v>실내 이동 경로</x:v>
      </x:c>
      <x:c r="D2" t="str">
        <x:v>오픈열람실2 AP</x:v>
      </x:c>
      <x:c r="E2" t="str">
        <x:v>이동</x:v>
      </x:c>
      <x:c r="F2" t="n">
        <x:v>60</x:v>
      </x:c>
      <x:c r="G2" t="n">
        <x:v>1</x:v>
      </x:c>
      <x:c r="H2" t="n">
        <x:v>1</x:v>
      </x:c>
      <x:c r="I2" s="62" t="n">
        <x:v>-52</x:v>
      </x:c>
      <x:c r="J2" s="62" t="n">
        <x:v>1201</x:v>
      </x:c>
      <x:c r="K2" s="62" t="n">
        <x:v>82</x:v>
      </x:c>
      <x:c r="L2" s="62" t="n">
        <x:v>18</x:v>
      </x:c>
      <x:c r="M2" s="62" t="n">
        <x:v>0</x:v>
      </x:c>
      <x:c r="N2" s="62" t="n">
        <x:v>18.6356</x:v>
      </x:c>
      <x:c r="O2" s="62" t="n">
        <x:v>49.9486</x:v>
      </x:c>
      <x:c r="P2" s="62" t="n">
        <x:f>IF(OR(N2="",O2=""),"",2*N2*O2/(N2+O2))</x:f>
        <x:v>27.143923240629768</x:v>
      </x:c>
      <x:c r="Q2" t="str">
        <x:v>이동하면서_오열2_1시간 측정_1.png</x:v>
      </x:c>
      <x:c r="R2" t="str">
        <x:v>기존 Excel 대응+이미지 보완</x:v>
      </x:c>
      <x:c r="S2" t="str"/>
    </x:row>
    <x:row r="3" ht="15" hidden="0" customHeight="1">
      <x:c r="A3" t="str">
        <x:v>MOVE_OPEN2_1H_R1</x:v>
      </x:c>
      <x:c r="B3" t="str">
        <x:v>이동</x:v>
      </x:c>
      <x:c r="C3" t="str">
        <x:v>실내 이동 경로</x:v>
      </x:c>
      <x:c r="D3" t="str">
        <x:v>오픈열람실2 AP</x:v>
      </x:c>
      <x:c r="E3" t="str">
        <x:v>이동</x:v>
      </x:c>
      <x:c r="F3" t="n">
        <x:v>60</x:v>
      </x:c>
      <x:c r="G3" t="n">
        <x:v>1</x:v>
      </x:c>
      <x:c r="H3" t="n">
        <x:v>2</x:v>
      </x:c>
      <x:c r="I3" s="62" t="n">
        <x:v>-50</x:v>
      </x:c>
      <x:c r="J3" s="62" t="n">
        <x:v>1201</x:v>
      </x:c>
      <x:c r="K3" s="62" t="n">
        <x:v>30</x:v>
      </x:c>
      <x:c r="L3" s="62" t="n">
        <x:v>8</x:v>
      </x:c>
      <x:c r="M3" s="62" t="n">
        <x:v>0</x:v>
      </x:c>
      <x:c r="N3" s="62" t="n">
        <x:v>5.0213</x:v>
      </x:c>
      <x:c r="O3" s="62" t="n">
        <x:v>68.3369</x:v>
      </x:c>
      <x:c r="P3" s="62" t="n">
        <x:f>IF(OR(N3="",O3=""),"",2*N3*O3/(N3+O3))</x:f>
        <x:v>9.355193447221987</x:v>
      </x:c>
      <x:c r="Q3" t="str">
        <x:v>이동하면서_오열2_1시간 측정_1.png</x:v>
      </x:c>
      <x:c r="R3" t="str">
        <x:v>기존 Excel 대응+이미지 보완</x:v>
      </x:c>
      <x:c r="S3" t="str"/>
    </x:row>
    <x:row r="4" ht="15" hidden="0" customHeight="1">
      <x:c r="A4" t="str">
        <x:v>MOVE_OPEN2_1H_R1</x:v>
      </x:c>
      <x:c r="B4" t="str">
        <x:v>이동</x:v>
      </x:c>
      <x:c r="C4" t="str">
        <x:v>실내 이동 경로</x:v>
      </x:c>
      <x:c r="D4" t="str">
        <x:v>오픈열람실2 AP</x:v>
      </x:c>
      <x:c r="E4" t="str">
        <x:v>이동</x:v>
      </x:c>
      <x:c r="F4" t="n">
        <x:v>60</x:v>
      </x:c>
      <x:c r="G4" t="n">
        <x:v>1</x:v>
      </x:c>
      <x:c r="H4" t="n">
        <x:v>3</x:v>
      </x:c>
      <x:c r="I4" s="62" t="n">
        <x:v>-50</x:v>
      </x:c>
      <x:c r="J4" s="62" t="n">
        <x:v>1201</x:v>
      </x:c>
      <x:c r="K4" s="62" t="n">
        <x:v>22</x:v>
      </x:c>
      <x:c r="L4" s="62" t="n">
        <x:v>15</x:v>
      </x:c>
      <x:c r="M4" s="62" t="n">
        <x:v>0</x:v>
      </x:c>
      <x:c r="N4" s="62" t="n">
        <x:v>13.5989</x:v>
      </x:c>
      <x:c r="O4" s="62" t="n">
        <x:v>63.4809</x:v>
      </x:c>
      <x:c r="P4" s="62" t="n">
        <x:f>IF(OR(N4="",O4=""),"",2*N4*O4/(N4+O4))</x:f>
        <x:v>22.399394160597197</x:v>
      </x:c>
      <x:c r="Q4" t="str">
        <x:v>이동하면서_오열2_1시간 측정_1.png</x:v>
      </x:c>
      <x:c r="R4" t="str">
        <x:v>기존 Excel 대응+이미지 보완</x:v>
      </x:c>
      <x:c r="S4" t="str"/>
    </x:row>
    <x:row r="5" ht="15" hidden="0" customHeight="1">
      <x:c r="A5" t="str">
        <x:v>MOVE_OPEN2_1H_R1</x:v>
      </x:c>
      <x:c r="B5" t="str">
        <x:v>이동</x:v>
      </x:c>
      <x:c r="C5" t="str">
        <x:v>실내 이동 경로</x:v>
      </x:c>
      <x:c r="D5" t="str">
        <x:v>오픈열람실2 AP</x:v>
      </x:c>
      <x:c r="E5" t="str">
        <x:v>이동</x:v>
      </x:c>
      <x:c r="F5" t="n">
        <x:v>60</x:v>
      </x:c>
      <x:c r="G5" t="n">
        <x:v>1</x:v>
      </x:c>
      <x:c r="H5" t="n">
        <x:v>4</x:v>
      </x:c>
      <x:c r="I5" s="62" t="n">
        <x:v>-54</x:v>
      </x:c>
      <x:c r="J5" s="62" t="n">
        <x:v>1201</x:v>
      </x:c>
      <x:c r="K5" s="62" t="n">
        <x:v>18</x:v>
      </x:c>
      <x:c r="L5" s="62" t="n">
        <x:v>17</x:v>
      </x:c>
      <x:c r="M5" s="62" t="n">
        <x:v>0</x:v>
      </x:c>
      <x:c r="N5" s="62" t="n">
        <x:v>11.0891</x:v>
      </x:c>
      <x:c r="O5" s="62" t="n">
        <x:v>68.0413</x:v>
      </x:c>
      <x:c r="P5" s="62" t="n">
        <x:f>IF(OR(N5="",O5=""),"",2*N5*O5/(N5+O5))</x:f>
        <x:v>19.070212707884707</x:v>
      </x:c>
      <x:c r="Q5" t="str">
        <x:v>이동하면서_오열2_1시간 측정_1.png</x:v>
      </x:c>
      <x:c r="R5" t="str">
        <x:v>기존 Excel 대응+이미지 보완</x:v>
      </x:c>
      <x:c r="S5" t="str"/>
    </x:row>
    <x:row r="6" ht="15" hidden="0" customHeight="1">
      <x:c r="A6" t="str">
        <x:v>MOVE_OPEN2_1H_R1</x:v>
      </x:c>
      <x:c r="B6" t="str">
        <x:v>이동</x:v>
      </x:c>
      <x:c r="C6" t="str">
        <x:v>실내 이동 경로</x:v>
      </x:c>
      <x:c r="D6" t="str">
        <x:v>오픈열람실2 AP</x:v>
      </x:c>
      <x:c r="E6" t="str">
        <x:v>이동</x:v>
      </x:c>
      <x:c r="F6" t="n">
        <x:v>60</x:v>
      </x:c>
      <x:c r="G6" t="n">
        <x:v>1</x:v>
      </x:c>
      <x:c r="H6" t="n">
        <x:v>5</x:v>
      </x:c>
      <x:c r="I6" s="62" t="n">
        <x:v>-54</x:v>
      </x:c>
      <x:c r="J6" s="62" t="n">
        <x:v>1201</x:v>
      </x:c>
      <x:c r="K6" s="62" t="n">
        <x:v>21</x:v>
      </x:c>
      <x:c r="L6" s="62" t="n">
        <x:v>6</x:v>
      </x:c>
      <x:c r="M6" s="62" t="n">
        <x:v>0</x:v>
      </x:c>
      <x:c r="N6" s="62" t="n">
        <x:v>17.1668</x:v>
      </x:c>
      <x:c r="O6" s="62" t="n">
        <x:v>61.8526</x:v>
      </x:c>
      <x:c r="P6" s="62" t="n">
        <x:f>IF(OR(N6="",O6=""),"",2*N6*O6/(N6+O6))</x:f>
        <x:v>26.874696939738847</x:v>
      </x:c>
      <x:c r="Q6" t="str">
        <x:v>이동하면서_오열2_1시간 측정_1.png</x:v>
      </x:c>
      <x:c r="R6" t="str">
        <x:v>기존 Excel 대응+이미지 보완</x:v>
      </x:c>
      <x:c r="S6" t="str"/>
    </x:row>
    <x:row r="7" ht="15" hidden="0" customHeight="1">
      <x:c r="A7" t="str">
        <x:v>MOVE_OPEN2_1H_R1</x:v>
      </x:c>
      <x:c r="B7" t="str">
        <x:v>이동</x:v>
      </x:c>
      <x:c r="C7" t="str">
        <x:v>실내 이동 경로</x:v>
      </x:c>
      <x:c r="D7" t="str">
        <x:v>오픈열람실2 AP</x:v>
      </x:c>
      <x:c r="E7" t="str">
        <x:v>이동</x:v>
      </x:c>
      <x:c r="F7" t="n">
        <x:v>60</x:v>
      </x:c>
      <x:c r="G7" t="n">
        <x:v>1</x:v>
      </x:c>
      <x:c r="H7" t="n">
        <x:v>6</x:v>
      </x:c>
      <x:c r="I7" s="62" t="n">
        <x:v>-50</x:v>
      </x:c>
      <x:c r="J7" s="62" t="n">
        <x:v>1201</x:v>
      </x:c>
      <x:c r="K7" s="62" t="n">
        <x:v>19</x:v>
      </x:c>
      <x:c r="L7" s="62" t="n">
        <x:v>4</x:v>
      </x:c>
      <x:c r="M7" s="62" t="n">
        <x:v>3.3333</x:v>
      </x:c>
      <x:c r="N7" s="62" t="n">
        <x:v>32.2023</x:v>
      </x:c>
      <x:c r="O7" s="62" t="n">
        <x:v>66.5311</x:v>
      </x:c>
      <x:c r="P7" s="62" t="n">
        <x:f>IF(OR(N7="",O7=""),"",2*N7*O7/(N7+O7))</x:f>
        <x:v>43.39877774957613</x:v>
      </x:c>
      <x:c r="Q7" t="str">
        <x:v>이동하면서_오열2_1시간 측정_1.png</x:v>
      </x:c>
      <x:c r="R7" t="str">
        <x:v>기존 Excel 대응+이미지 보완</x:v>
      </x:c>
      <x:c r="S7" t="str"/>
    </x:row>
    <x:row r="8" ht="15" hidden="0" customHeight="1">
      <x:c r="A8" t="str">
        <x:v>MOVE_OPEN2_1H_R1</x:v>
      </x:c>
      <x:c r="B8" t="str">
        <x:v>이동</x:v>
      </x:c>
      <x:c r="C8" t="str">
        <x:v>실내 이동 경로</x:v>
      </x:c>
      <x:c r="D8" t="str">
        <x:v>오픈열람실2 AP</x:v>
      </x:c>
      <x:c r="E8" t="str">
        <x:v>이동</x:v>
      </x:c>
      <x:c r="F8" t="n">
        <x:v>60</x:v>
      </x:c>
      <x:c r="G8" t="n">
        <x:v>1</x:v>
      </x:c>
      <x:c r="H8" t="n">
        <x:v>7</x:v>
      </x:c>
      <x:c r="I8" s="62" t="n">
        <x:v>-50</x:v>
      </x:c>
      <x:c r="J8" s="62" t="n">
        <x:v>1201</x:v>
      </x:c>
      <x:c r="K8" s="62" t="n">
        <x:v>14</x:v>
      </x:c>
      <x:c r="L8" s="62" t="n">
        <x:v>7</x:v>
      </x:c>
      <x:c r="M8" s="62" t="n">
        <x:v>0</x:v>
      </x:c>
      <x:c r="N8" s="62" t="n">
        <x:v>4.6034</x:v>
      </x:c>
      <x:c r="O8" s="62" t="n">
        <x:v>59.329</x:v>
      </x:c>
      <x:c r="P8" s="62" t="n">
        <x:f>IF(OR(N8="",O8=""),"",2*N8*O8/(N8+O8))</x:f>
        <x:v>8.54387192096652</x:v>
      </x:c>
      <x:c r="Q8" t="str">
        <x:v>이동하면서_오열2_1시간 측정_1.png</x:v>
      </x:c>
      <x:c r="R8" t="str">
        <x:v>기존 Excel 대응+이미지 보완</x:v>
      </x:c>
      <x:c r="S8" t="str"/>
    </x:row>
    <x:row r="9" ht="15" hidden="0" customHeight="1">
      <x:c r="A9" t="str">
        <x:v>MOVE_OPEN2_1H_R1</x:v>
      </x:c>
      <x:c r="B9" t="str">
        <x:v>이동</x:v>
      </x:c>
      <x:c r="C9" t="str">
        <x:v>실내 이동 경로</x:v>
      </x:c>
      <x:c r="D9" t="str">
        <x:v>오픈열람실2 AP</x:v>
      </x:c>
      <x:c r="E9" t="str">
        <x:v>이동</x:v>
      </x:c>
      <x:c r="F9" t="n">
        <x:v>60</x:v>
      </x:c>
      <x:c r="G9" t="n">
        <x:v>1</x:v>
      </x:c>
      <x:c r="H9" t="n">
        <x:v>8</x:v>
      </x:c>
      <x:c r="I9" s="62" t="n">
        <x:v>-64</x:v>
      </x:c>
      <x:c r="J9" s="62" t="n">
        <x:v>960.75</x:v>
      </x:c>
      <x:c r="K9" s="62" t="n">
        <x:v>15</x:v>
      </x:c>
      <x:c r="L9" s="62" t="n">
        <x:v>5</x:v>
      </x:c>
      <x:c r="M9" s="62" t="n">
        <x:v>0</x:v>
      </x:c>
      <x:c r="N9" s="62" t="n">
        <x:v>17.371</x:v>
      </x:c>
      <x:c r="O9" s="62" t="n">
        <x:v>65.8588</x:v>
      </x:c>
      <x:c r="P9" s="62" t="n">
        <x:f>IF(OR(N9="",O9=""),"",2*N9*O9/(N9+O9))</x:f>
        <x:v>27.490951913857778</x:v>
      </x:c>
      <x:c r="Q9" t="str">
        <x:v>이동하면서_오열2_1시간 측정_1.png</x:v>
      </x:c>
      <x:c r="R9" t="str">
        <x:v>기존 Excel 대응+이미지 보완</x:v>
      </x:c>
      <x:c r="S9" t="str"/>
    </x:row>
    <x:row r="10" ht="15" hidden="0" customHeight="1">
      <x:c r="A10" t="str">
        <x:v>MOVE_OPEN2_1H_R1</x:v>
      </x:c>
      <x:c r="B10" t="str">
        <x:v>이동</x:v>
      </x:c>
      <x:c r="C10" t="str">
        <x:v>실내 이동 경로</x:v>
      </x:c>
      <x:c r="D10" t="str">
        <x:v>오픈열람실2 AP</x:v>
      </x:c>
      <x:c r="E10" t="str">
        <x:v>이동</x:v>
      </x:c>
      <x:c r="F10" t="n">
        <x:v>60</x:v>
      </x:c>
      <x:c r="G10" t="n">
        <x:v>1</x:v>
      </x:c>
      <x:c r="H10" t="n">
        <x:v>9</x:v>
      </x:c>
      <x:c r="I10" s="62" t="n">
        <x:v>-72</x:v>
      </x:c>
      <x:c r="J10" s="62" t="n">
        <x:v>960.75</x:v>
      </x:c>
      <x:c r="K10" s="62" t="n">
        <x:v>41</x:v>
      </x:c>
      <x:c r="L10" s="62" t="n">
        <x:v>10</x:v>
      </x:c>
      <x:c r="M10" s="62" t="n">
        <x:v>0</x:v>
      </x:c>
      <x:c r="N10" s="62" t="n">
        <x:v>15.926</x:v>
      </x:c>
      <x:c r="O10" s="62" t="n">
        <x:v>69.743</x:v>
      </x:c>
      <x:c r="P10" s="62" t="n">
        <x:f>IF(OR(N10="",O10=""),"",2*N10*O10/(N10+O10))</x:f>
        <x:v>25.93066378736766</x:v>
      </x:c>
      <x:c r="Q10" t="str">
        <x:v>이동하면서_오열2_1시간 측정_1.png</x:v>
      </x:c>
      <x:c r="R10" t="str">
        <x:v>기존 Excel 대응+이미지 보완</x:v>
      </x:c>
      <x:c r="S10" t="str"/>
    </x:row>
    <x:row r="11" ht="15" hidden="0" customHeight="1">
      <x:c r="A11" t="str">
        <x:v>MOVE_OPEN2_1H_R1</x:v>
      </x:c>
      <x:c r="B11" t="str">
        <x:v>이동</x:v>
      </x:c>
      <x:c r="C11" t="str">
        <x:v>실내 이동 경로</x:v>
      </x:c>
      <x:c r="D11" t="str">
        <x:v>오픈열람실2 AP</x:v>
      </x:c>
      <x:c r="E11" t="str">
        <x:v>이동</x:v>
      </x:c>
      <x:c r="F11" t="n">
        <x:v>60</x:v>
      </x:c>
      <x:c r="G11" t="n">
        <x:v>1</x:v>
      </x:c>
      <x:c r="H11" t="n">
        <x:v>10</x:v>
      </x:c>
      <x:c r="I11" s="62" t="n">
        <x:v>-65</x:v>
      </x:c>
      <x:c r="J11" s="62" t="n">
        <x:v>924.75</x:v>
      </x:c>
      <x:c r="K11" s="62" t="n">
        <x:v>27</x:v>
      </x:c>
      <x:c r="L11" s="62" t="n">
        <x:v>21</x:v>
      </x:c>
      <x:c r="M11" s="62" t="n">
        <x:v>0</x:v>
      </x:c>
      <x:c r="N11" s="62" t="n">
        <x:v>6.6995</x:v>
      </x:c>
      <x:c r="O11" s="62" t="n">
        <x:v>42.0076</x:v>
      </x:c>
      <x:c r="P11" s="62" t="n">
        <x:f>IF(OR(N11="",O11=""),"",2*N11*O11/(N11+O11))</x:f>
        <x:v>11.556012006463124</x:v>
      </x:c>
      <x:c r="Q11" t="str">
        <x:v>이동하면서_오열2_1시간 측정_1.png</x:v>
      </x:c>
      <x:c r="R11" t="str">
        <x:v>기존 Excel 대응+이미지 보완</x:v>
      </x:c>
      <x:c r="S11" t="str"/>
    </x:row>
    <x:row r="12" ht="15" hidden="0" customHeight="1">
      <x:c r="A12" t="str">
        <x:v>MOVE_OPEN2_1H_R1</x:v>
      </x:c>
      <x:c r="B12" t="str">
        <x:v>이동</x:v>
      </x:c>
      <x:c r="C12" t="str">
        <x:v>실내 이동 경로</x:v>
      </x:c>
      <x:c r="D12" t="str">
        <x:v>오픈열람실2 AP</x:v>
      </x:c>
      <x:c r="E12" t="str">
        <x:v>이동</x:v>
      </x:c>
      <x:c r="F12" t="n">
        <x:v>60</x:v>
      </x:c>
      <x:c r="G12" t="n">
        <x:v>1</x:v>
      </x:c>
      <x:c r="H12" t="n">
        <x:v>11</x:v>
      </x:c>
      <x:c r="I12" s="62" t="n">
        <x:v>-71</x:v>
      </x:c>
      <x:c r="J12" s="62" t="n">
        <x:v>924.75</x:v>
      </x:c>
      <x:c r="K12" s="62" t="n">
        <x:v>13</x:v>
      </x:c>
      <x:c r="L12" s="62" t="n">
        <x:v>7</x:v>
      </x:c>
      <x:c r="M12" s="62" t="n">
        <x:v>0</x:v>
      </x:c>
      <x:c r="N12" s="62" t="n">
        <x:v>4.8027</x:v>
      </x:c>
      <x:c r="O12" s="62" t="n">
        <x:v>65.7867</x:v>
      </x:c>
      <x:c r="P12" s="62" t="n">
        <x:f>IF(OR(N12="",O12=""),"",2*N12*O12/(N12+O12))</x:f>
        <x:v>8.951876176593085</x:v>
      </x:c>
      <x:c r="Q12" t="str">
        <x:v>이동하면서_오열2_1시간 측정_1.png</x:v>
      </x:c>
      <x:c r="R12" t="str">
        <x:v>기존 Excel 대응+이미지 보완</x:v>
      </x:c>
      <x:c r="S12" t="str"/>
    </x:row>
    <x:row r="13" ht="15" hidden="0" customHeight="1">
      <x:c r="A13" t="str">
        <x:v>MOVE_OPEN2_1H_R1</x:v>
      </x:c>
      <x:c r="B13" t="str">
        <x:v>이동</x:v>
      </x:c>
      <x:c r="C13" t="str">
        <x:v>실내 이동 경로</x:v>
      </x:c>
      <x:c r="D13" t="str">
        <x:v>오픈열람실2 AP</x:v>
      </x:c>
      <x:c r="E13" t="str">
        <x:v>이동</x:v>
      </x:c>
      <x:c r="F13" t="n">
        <x:v>60</x:v>
      </x:c>
      <x:c r="G13" t="n">
        <x:v>1</x:v>
      </x:c>
      <x:c r="H13" t="n">
        <x:v>12</x:v>
      </x:c>
      <x:c r="I13" s="62" t="n">
        <x:v>-70</x:v>
      </x:c>
      <x:c r="J13" s="62" t="n">
        <x:v>888.75</x:v>
      </x:c>
      <x:c r="K13" s="62" t="n">
        <x:v>19</x:v>
      </x:c>
      <x:c r="L13" s="62" t="n">
        <x:v>8</x:v>
      </x:c>
      <x:c r="M13" s="62" t="n">
        <x:v>0</x:v>
      </x:c>
      <x:c r="N13" s="62" t="n">
        <x:v>7.9496</x:v>
      </x:c>
      <x:c r="O13" s="62" t="n">
        <x:v>18.7236</x:v>
      </x:c>
      <x:c r="P13" s="62" t="n">
        <x:f>IF(OR(N13="",O13=""),"",2*N13*O13/(N13+O13))</x:f>
        <x:v>11.160650432644001</x:v>
      </x:c>
      <x:c r="Q13" t="str">
        <x:v>이동하면서_오열2_1시간 측정_1.png</x:v>
      </x:c>
      <x:c r="R13" t="str">
        <x:v>기존 Excel 대응+이미지 보완</x:v>
      </x:c>
      <x:c r="S13" t="str"/>
    </x:row>
    <x:row r="14" ht="15" hidden="0" customHeight="1">
      <x:c r="A14" t="str">
        <x:v>MOVE_OPEN2_1H_R1</x:v>
      </x:c>
      <x:c r="B14" t="str">
        <x:v>이동</x:v>
      </x:c>
      <x:c r="C14" t="str">
        <x:v>실내 이동 경로</x:v>
      </x:c>
      <x:c r="D14" t="str">
        <x:v>오픈열람실2 AP</x:v>
      </x:c>
      <x:c r="E14" t="str">
        <x:v>이동</x:v>
      </x:c>
      <x:c r="F14" t="n">
        <x:v>60</x:v>
      </x:c>
      <x:c r="G14" t="n">
        <x:v>1</x:v>
      </x:c>
      <x:c r="H14" t="n">
        <x:v>13</x:v>
      </x:c>
      <x:c r="I14" s="62" t="n">
        <x:v>-69</x:v>
      </x:c>
      <x:c r="J14" s="62" t="n">
        <x:v>924.75</x:v>
      </x:c>
      <x:c r="K14" s="62" t="n">
        <x:v>24</x:v>
      </x:c>
      <x:c r="L14" s="62" t="n">
        <x:v>5</x:v>
      </x:c>
      <x:c r="M14" s="62" t="n">
        <x:v>0</x:v>
      </x:c>
      <x:c r="N14" s="62" t="n">
        <x:v>19.2537</x:v>
      </x:c>
      <x:c r="O14" s="62" t="n">
        <x:v>79.1188</x:v>
      </x:c>
      <x:c r="P14" s="62" t="n">
        <x:f>IF(OR(N14="",O14=""),"",2*N14*O14/(N14+O14))</x:f>
        <x:v>30.970639956491905</x:v>
      </x:c>
      <x:c r="Q14" t="str">
        <x:v>이동하면서_오열2_1시간 측정_1.png</x:v>
      </x:c>
      <x:c r="R14" t="str">
        <x:v>기존 Excel 대응+이미지 보완</x:v>
      </x:c>
      <x:c r="S14" t="str"/>
    </x:row>
    <x:row r="15" ht="15" hidden="0" customHeight="1">
      <x:c r="A15" t="str">
        <x:v>MOVE_OPEN2_1H_R1</x:v>
      </x:c>
      <x:c r="B15" t="str">
        <x:v>이동</x:v>
      </x:c>
      <x:c r="C15" t="str">
        <x:v>실내 이동 경로</x:v>
      </x:c>
      <x:c r="D15" t="str">
        <x:v>오픈열람실2 AP</x:v>
      </x:c>
      <x:c r="E15" t="str">
        <x:v>이동</x:v>
      </x:c>
      <x:c r="F15" t="n">
        <x:v>60</x:v>
      </x:c>
      <x:c r="G15" t="n">
        <x:v>1</x:v>
      </x:c>
      <x:c r="H15" t="n">
        <x:v>14</x:v>
      </x:c>
      <x:c r="I15" s="62" t="n">
        <x:v>-65</x:v>
      </x:c>
      <x:c r="J15" s="62" t="n">
        <x:v>924.75</x:v>
      </x:c>
      <x:c r="K15" s="62" t="n">
        <x:v>12</x:v>
      </x:c>
      <x:c r="L15" s="62" t="n">
        <x:v>12</x:v>
      </x:c>
      <x:c r="M15" s="62" t="n">
        <x:v>0</x:v>
      </x:c>
      <x:c r="N15" s="62" t="n">
        <x:v>10.2636</x:v>
      </x:c>
      <x:c r="O15" s="62" t="n">
        <x:v>70.5642</x:v>
      </x:c>
      <x:c r="P15" s="62" t="n">
        <x:f>IF(OR(N15="",O15=""),"",2*N15*O15/(N15+O15))</x:f>
        <x:v>17.920634314431425</x:v>
      </x:c>
      <x:c r="Q15" t="str">
        <x:v>이동하면서_오열2_1시간 측정_1.png</x:v>
      </x:c>
      <x:c r="R15" t="str">
        <x:v>기존 Excel 대응+이미지 보완</x:v>
      </x:c>
      <x:c r="S15" t="str"/>
    </x:row>
    <x:row r="16" ht="15" hidden="0" customHeight="1">
      <x:c r="A16" t="str">
        <x:v>MOVE_OPEN2_1H_R1</x:v>
      </x:c>
      <x:c r="B16" t="str">
        <x:v>이동</x:v>
      </x:c>
      <x:c r="C16" t="str">
        <x:v>실내 이동 경로</x:v>
      </x:c>
      <x:c r="D16" t="str">
        <x:v>오픈열람실2 AP</x:v>
      </x:c>
      <x:c r="E16" t="str">
        <x:v>이동</x:v>
      </x:c>
      <x:c r="F16" t="n">
        <x:v>60</x:v>
      </x:c>
      <x:c r="G16" t="n">
        <x:v>1</x:v>
      </x:c>
      <x:c r="H16" t="n">
        <x:v>15</x:v>
      </x:c>
      <x:c r="I16" s="62" t="n">
        <x:v>-62</x:v>
      </x:c>
      <x:c r="J16" s="62" t="n">
        <x:v>960.75</x:v>
      </x:c>
      <x:c r="K16" s="62" t="n">
        <x:v>33</x:v>
      </x:c>
      <x:c r="L16" s="62" t="n">
        <x:v>23</x:v>
      </x:c>
      <x:c r="M16" s="62" t="n">
        <x:v>3.3333</x:v>
      </x:c>
      <x:c r="N16" s="62" t="n">
        <x:v>6.0743</x:v>
      </x:c>
      <x:c r="O16" s="62" t="n">
        <x:v>28.0305</x:v>
      </x:c>
      <x:c r="P16" s="62" t="n">
        <x:f>IF(OR(N16="",O16=""),"",2*N16*O16/(N16+O16))</x:f>
        <x:v>9.984850587014146</x:v>
      </x:c>
      <x:c r="Q16" t="str">
        <x:v>이동하면서_오열2_1시간 측정_1.png</x:v>
      </x:c>
      <x:c r="R16" t="str">
        <x:v>기존 Excel 대응+이미지 보완</x:v>
      </x:c>
      <x:c r="S16" t="str"/>
    </x:row>
    <x:row r="17" ht="15" hidden="0" customHeight="1">
      <x:c r="A17" t="str">
        <x:v>MOVE_OPEN2_1H_R1</x:v>
      </x:c>
      <x:c r="B17" t="str">
        <x:v>이동</x:v>
      </x:c>
      <x:c r="C17" t="str">
        <x:v>실내 이동 경로</x:v>
      </x:c>
      <x:c r="D17" t="str">
        <x:v>오픈열람실2 AP</x:v>
      </x:c>
      <x:c r="E17" t="str">
        <x:v>이동</x:v>
      </x:c>
      <x:c r="F17" t="n">
        <x:v>60</x:v>
      </x:c>
      <x:c r="G17" t="n">
        <x:v>1</x:v>
      </x:c>
      <x:c r="H17" t="n">
        <x:v>16</x:v>
      </x:c>
      <x:c r="I17" s="62" t="n">
        <x:v>-79</x:v>
      </x:c>
      <x:c r="J17" s="62" t="n">
        <x:v>960.75</x:v>
      </x:c>
      <x:c r="K17" s="62" t="n">
        <x:v>16</x:v>
      </x:c>
      <x:c r="L17" s="62" t="n">
        <x:v>5</x:v>
      </x:c>
      <x:c r="M17" s="62" t="n">
        <x:v>0</x:v>
      </x:c>
      <x:c r="N17" s="62" t="n">
        <x:v>6.9114</x:v>
      </x:c>
      <x:c r="O17" s="62" t="n">
        <x:v>30.8577</x:v>
      </x:c>
      <x:c r="P17" s="62" t="n">
        <x:f>IF(OR(N17="",O17=""),"",2*N17*O17/(N17+O17))</x:f>
        <x:v>11.293353973486262</x:v>
      </x:c>
      <x:c r="Q17" t="str">
        <x:v>이동하면서_오열2_1시간 측정_1.png</x:v>
      </x:c>
      <x:c r="R17" t="str">
        <x:v>기존 Excel 대응+이미지 보완</x:v>
      </x:c>
      <x:c r="S17" t="str"/>
    </x:row>
    <x:row r="18" ht="15" hidden="0" customHeight="1">
      <x:c r="A18" t="str">
        <x:v>MOVE_OPEN2_1H_R1</x:v>
      </x:c>
      <x:c r="B18" t="str">
        <x:v>이동</x:v>
      </x:c>
      <x:c r="C18" t="str">
        <x:v>실내 이동 경로</x:v>
      </x:c>
      <x:c r="D18" t="str">
        <x:v>오픈열람실2 AP</x:v>
      </x:c>
      <x:c r="E18" t="str">
        <x:v>이동</x:v>
      </x:c>
      <x:c r="F18" t="n">
        <x:v>60</x:v>
      </x:c>
      <x:c r="G18" t="n">
        <x:v>1</x:v>
      </x:c>
      <x:c r="H18" t="n">
        <x:v>17</x:v>
      </x:c>
      <x:c r="I18" s="62" t="n">
        <x:v>-79</x:v>
      </x:c>
      <x:c r="J18" s="62" t="n">
        <x:v>960.75</x:v>
      </x:c>
      <x:c r="K18" s="62" t="n">
        <x:v>35</x:v>
      </x:c>
      <x:c r="L18" s="62" t="n">
        <x:v>5</x:v>
      </x:c>
      <x:c r="M18" s="62" t="n">
        <x:v>0</x:v>
      </x:c>
      <x:c r="N18" s="62" t="n">
        <x:v>5.6398</x:v>
      </x:c>
      <x:c r="O18" s="62" t="n">
        <x:v>34.613</x:v>
      </x:c>
      <x:c r="P18" s="62" t="n">
        <x:f>IF(OR(N18="",O18=""),"",2*N18*O18/(N18+O18))</x:f>
        <x:v>9.699220794578265</x:v>
      </x:c>
      <x:c r="Q18" t="str">
        <x:v>이동하면서_오열2_1시간 측정_1.png</x:v>
      </x:c>
      <x:c r="R18" t="str">
        <x:v>기존 Excel 대응+이미지 보완</x:v>
      </x:c>
      <x:c r="S18" t="str"/>
    </x:row>
    <x:row r="19" ht="15" hidden="0" customHeight="1">
      <x:c r="A19" t="str">
        <x:v>MOVE_OPEN2_1H_R1</x:v>
      </x:c>
      <x:c r="B19" t="str">
        <x:v>이동</x:v>
      </x:c>
      <x:c r="C19" t="str">
        <x:v>실내 이동 경로</x:v>
      </x:c>
      <x:c r="D19" t="str">
        <x:v>오픈열람실2 AP</x:v>
      </x:c>
      <x:c r="E19" t="str">
        <x:v>이동</x:v>
      </x:c>
      <x:c r="F19" t="n">
        <x:v>60</x:v>
      </x:c>
      <x:c r="G19" t="n">
        <x:v>1</x:v>
      </x:c>
      <x:c r="H19" t="n">
        <x:v>18</x:v>
      </x:c>
      <x:c r="I19" s="62" t="n">
        <x:v>-79</x:v>
      </x:c>
      <x:c r="J19" s="62" t="n">
        <x:v>816.5</x:v>
      </x:c>
      <x:c r="K19" s="62" t="n">
        <x:v>15</x:v>
      </x:c>
      <x:c r="L19" s="62" t="n">
        <x:v>6</x:v>
      </x:c>
      <x:c r="M19" s="62" t="n">
        <x:v>0</x:v>
      </x:c>
      <x:c r="N19" s="62" t="n">
        <x:v>11.8783</x:v>
      </x:c>
      <x:c r="O19" s="62" t="n">
        <x:v>9.4229</x:v>
      </x:c>
      <x:c r="P19" s="62" t="n">
        <x:f>IF(OR(N19="",O19=""),"",2*N19*O19/(N19+O19))</x:f>
        <x:v>10.509082405686064</x:v>
      </x:c>
      <x:c r="Q19" t="str">
        <x:v>이동하면서_오열2_1시간 측정_1.png</x:v>
      </x:c>
      <x:c r="R19" t="str">
        <x:v>기존 Excel 대응+이미지 보완</x:v>
      </x:c>
      <x:c r="S19" t="str"/>
    </x:row>
    <x:row r="20" ht="15" hidden="0" customHeight="1">
      <x:c r="A20" t="str">
        <x:v>MOVE_OPEN2_1H_R1</x:v>
      </x:c>
      <x:c r="B20" t="str">
        <x:v>이동</x:v>
      </x:c>
      <x:c r="C20" t="str">
        <x:v>실내 이동 경로</x:v>
      </x:c>
      <x:c r="D20" t="str">
        <x:v>오픈열람실2 AP</x:v>
      </x:c>
      <x:c r="E20" t="str">
        <x:v>이동</x:v>
      </x:c>
      <x:c r="F20" t="n">
        <x:v>60</x:v>
      </x:c>
      <x:c r="G20" t="n">
        <x:v>1</x:v>
      </x:c>
      <x:c r="H20" t="n">
        <x:v>19</x:v>
      </x:c>
      <x:c r="I20" s="62" t="n">
        <x:v>-47</x:v>
      </x:c>
      <x:c r="J20" s="62" t="n">
        <x:v>1201</x:v>
      </x:c>
      <x:c r="K20" s="62" t="n">
        <x:v>23</x:v>
      </x:c>
      <x:c r="L20" s="62" t="n">
        <x:v>9</x:v>
      </x:c>
      <x:c r="M20" s="62" t="n">
        <x:v>0</x:v>
      </x:c>
      <x:c r="N20" s="62" t="n">
        <x:v>45.6015</x:v>
      </x:c>
      <x:c r="O20" s="62" t="n">
        <x:v>45.6562</x:v>
      </x:c>
      <x:c r="P20" s="62" t="n">
        <x:f>IF(OR(N20="",O20=""),"",2*N20*O20/(N20+O20))</x:f>
        <x:v>45.62883360636965</x:v>
      </x:c>
      <x:c r="Q20" t="str">
        <x:v>이동하면서_오열2_1시간 측정_1.png</x:v>
      </x:c>
      <x:c r="R20" t="str">
        <x:v>기존 Excel 대응+이미지 보완</x:v>
      </x:c>
      <x:c r="S20" t="str"/>
    </x:row>
    <x:row r="21" ht="15" hidden="0" customHeight="1">
      <x:c r="A21" t="str">
        <x:v>MOVE_OPEN2_1H_R1</x:v>
      </x:c>
      <x:c r="B21" t="str">
        <x:v>이동</x:v>
      </x:c>
      <x:c r="C21" t="str">
        <x:v>실내 이동 경로</x:v>
      </x:c>
      <x:c r="D21" t="str">
        <x:v>오픈열람실2 AP</x:v>
      </x:c>
      <x:c r="E21" t="str">
        <x:v>이동</x:v>
      </x:c>
      <x:c r="F21" t="n">
        <x:v>60</x:v>
      </x:c>
      <x:c r="G21" t="n">
        <x:v>1</x:v>
      </x:c>
      <x:c r="H21" t="n">
        <x:v>20</x:v>
      </x:c>
      <x:c r="I21" s="62" t="n">
        <x:v>-48</x:v>
      </x:c>
      <x:c r="J21" s="62" t="n">
        <x:v>1201</x:v>
      </x:c>
      <x:c r="K21" s="62" t="n">
        <x:v>15</x:v>
      </x:c>
      <x:c r="L21" s="62" t="n">
        <x:v>6</x:v>
      </x:c>
      <x:c r="M21" s="62" t="n">
        <x:v>0</x:v>
      </x:c>
      <x:c r="N21" s="62" t="n">
        <x:v>13.8514</x:v>
      </x:c>
      <x:c r="O21" s="62" t="n">
        <x:v>61.8657</x:v>
      </x:c>
      <x:c r="P21" s="62" t="n">
        <x:f>IF(OR(N21="",O21=""),"",2*N21*O21/(N21+O21))</x:f>
        <x:v>22.63495450776641</x:v>
      </x:c>
      <x:c r="Q21" t="str">
        <x:v>이동하면서_오열2_1시간 측정_1.png</x:v>
      </x:c>
      <x:c r="R21" t="str">
        <x:v>기존 Excel 대응+이미지 보완</x:v>
      </x:c>
      <x:c r="S21" t="str"/>
    </x:row>
    <x:row r="22" ht="15" hidden="0" customHeight="1">
      <x:c r="A22" t="str">
        <x:v>MOVE_OPEN2_1H_R1</x:v>
      </x:c>
      <x:c r="B22" t="str">
        <x:v>이동</x:v>
      </x:c>
      <x:c r="C22" t="str">
        <x:v>실내 이동 경로</x:v>
      </x:c>
      <x:c r="D22" t="str">
        <x:v>오픈열람실2 AP</x:v>
      </x:c>
      <x:c r="E22" t="str">
        <x:v>이동</x:v>
      </x:c>
      <x:c r="F22" t="n">
        <x:v>60</x:v>
      </x:c>
      <x:c r="G22" t="n">
        <x:v>1</x:v>
      </x:c>
      <x:c r="H22" t="n">
        <x:v>21</x:v>
      </x:c>
      <x:c r="I22" s="62" t="n">
        <x:v>-47</x:v>
      </x:c>
      <x:c r="J22" s="62" t="n">
        <x:v>1201</x:v>
      </x:c>
      <x:c r="K22" s="62" t="n">
        <x:v>39</x:v>
      </x:c>
      <x:c r="L22" s="62" t="n">
        <x:v>6</x:v>
      </x:c>
      <x:c r="M22" s="62" t="n">
        <x:v>0</x:v>
      </x:c>
      <x:c r="N22" s="62" t="n">
        <x:v>10.8851</x:v>
      </x:c>
      <x:c r="O22" s="62" t="n">
        <x:v>62.5252</x:v>
      </x:c>
      <x:c r="P22" s="62" t="n">
        <x:f>IF(OR(N22="",O22=""),"",2*N22*O22/(N22+O22))</x:f>
        <x:v>18.542167911587338</x:v>
      </x:c>
      <x:c r="Q22" t="str">
        <x:v>이동하면서_오열2_1시간 측정_1.png</x:v>
      </x:c>
      <x:c r="R22" t="str">
        <x:v>기존 Excel 대응+이미지 보완</x:v>
      </x:c>
      <x:c r="S22" t="str"/>
    </x:row>
    <x:row r="23" ht="15" hidden="0" customHeight="1">
      <x:c r="A23" t="str">
        <x:v>MOVE_OPEN2_1H_R1</x:v>
      </x:c>
      <x:c r="B23" t="str">
        <x:v>이동</x:v>
      </x:c>
      <x:c r="C23" t="str">
        <x:v>실내 이동 경로</x:v>
      </x:c>
      <x:c r="D23" t="str">
        <x:v>오픈열람실2 AP</x:v>
      </x:c>
      <x:c r="E23" t="str">
        <x:v>이동</x:v>
      </x:c>
      <x:c r="F23" t="n">
        <x:v>60</x:v>
      </x:c>
      <x:c r="G23" t="n">
        <x:v>1</x:v>
      </x:c>
      <x:c r="H23" t="n">
        <x:v>22</x:v>
      </x:c>
      <x:c r="I23" s="62" t="n">
        <x:v>-47</x:v>
      </x:c>
      <x:c r="J23" s="62" t="n">
        <x:v>1201</x:v>
      </x:c>
      <x:c r="K23" s="62" t="n">
        <x:v>41</x:v>
      </x:c>
      <x:c r="L23" s="62" t="n">
        <x:v>6</x:v>
      </x:c>
      <x:c r="M23" s="62" t="n">
        <x:v>0</x:v>
      </x:c>
      <x:c r="N23" s="62" t="n">
        <x:v>16.7533</x:v>
      </x:c>
      <x:c r="O23" s="62" t="n">
        <x:v>52.9118</x:v>
      </x:c>
      <x:c r="P23" s="62" t="n">
        <x:f>IF(OR(N23="",O23=""),"",2*N23*O23/(N23+O23))</x:f>
        <x:v>25.44881896214891</x:v>
      </x:c>
      <x:c r="Q23" t="str">
        <x:v>이동하면서_오열2_1시간 측정_1.png</x:v>
      </x:c>
      <x:c r="R23" t="str">
        <x:v>기존 Excel 대응+이미지 보완</x:v>
      </x:c>
      <x:c r="S23" t="str"/>
    </x:row>
    <x:row r="24" ht="15" hidden="0" customHeight="1">
      <x:c r="A24" t="str">
        <x:v>MOVE_OPEN2_1H_R1</x:v>
      </x:c>
      <x:c r="B24" t="str">
        <x:v>이동</x:v>
      </x:c>
      <x:c r="C24" t="str">
        <x:v>실내 이동 경로</x:v>
      </x:c>
      <x:c r="D24" t="str">
        <x:v>오픈열람실2 AP</x:v>
      </x:c>
      <x:c r="E24" t="str">
        <x:v>이동</x:v>
      </x:c>
      <x:c r="F24" t="n">
        <x:v>60</x:v>
      </x:c>
      <x:c r="G24" t="n">
        <x:v>1</x:v>
      </x:c>
      <x:c r="H24" t="n">
        <x:v>23</x:v>
      </x:c>
      <x:c r="I24" s="62" t="n">
        <x:v>-47</x:v>
      </x:c>
      <x:c r="J24" s="62" t="n">
        <x:v>1201</x:v>
      </x:c>
      <x:c r="K24" s="62" t="n">
        <x:v>36</x:v>
      </x:c>
      <x:c r="L24" s="62" t="n">
        <x:v>12</x:v>
      </x:c>
      <x:c r="M24" s="62" t="n">
        <x:v>0</x:v>
      </x:c>
      <x:c r="N24" s="62" t="n">
        <x:v>16.1171</x:v>
      </x:c>
      <x:c r="O24" s="62" t="n">
        <x:v>61.7883</x:v>
      </x:c>
      <x:c r="P24" s="62" t="n">
        <x:f>IF(OR(N24="",O24=""),"",2*N24*O24/(N24+O24))</x:f>
        <x:v>25.56557594030709</x:v>
      </x:c>
      <x:c r="Q24" t="str">
        <x:v>이동하면서_오열2_1시간 측정_1.png</x:v>
      </x:c>
      <x:c r="R24" t="str">
        <x:v>기존 Excel 대응+이미지 보완</x:v>
      </x:c>
      <x:c r="S24" t="str"/>
    </x:row>
    <x:row r="25" ht="15" hidden="0" customHeight="1">
      <x:c r="A25" t="str">
        <x:v>MOVE_OPEN2_1H_R1</x:v>
      </x:c>
      <x:c r="B25" t="str">
        <x:v>이동</x:v>
      </x:c>
      <x:c r="C25" t="str">
        <x:v>실내 이동 경로</x:v>
      </x:c>
      <x:c r="D25" t="str">
        <x:v>오픈열람실2 AP</x:v>
      </x:c>
      <x:c r="E25" t="str">
        <x:v>이동</x:v>
      </x:c>
      <x:c r="F25" t="n">
        <x:v>60</x:v>
      </x:c>
      <x:c r="G25" t="n">
        <x:v>1</x:v>
      </x:c>
      <x:c r="H25" t="n">
        <x:v>24</x:v>
      </x:c>
      <x:c r="I25" s="62" t="n">
        <x:v>-46</x:v>
      </x:c>
      <x:c r="J25" s="62" t="n">
        <x:v>1201</x:v>
      </x:c>
      <x:c r="K25" s="62" t="n">
        <x:v>19</x:v>
      </x:c>
      <x:c r="L25" s="62" t="n">
        <x:v>5</x:v>
      </x:c>
      <x:c r="M25" s="62" t="n">
        <x:v>0</x:v>
      </x:c>
      <x:c r="N25" s="62" t="n">
        <x:v>15.6894</x:v>
      </x:c>
      <x:c r="O25" s="62" t="n">
        <x:v>39.6107</x:v>
      </x:c>
      <x:c r="P25" s="62" t="n">
        <x:f>IF(OR(N25="",O25=""),"",2*N25*O25/(N25+O25))</x:f>
        <x:v>22.476202270158645</x:v>
      </x:c>
      <x:c r="Q25" t="str">
        <x:v>이동하면서_오열2_1시간 측정_1.png</x:v>
      </x:c>
      <x:c r="R25" t="str">
        <x:v>기존 Excel 대응+이미지 보완</x:v>
      </x:c>
      <x:c r="S25" t="str"/>
    </x:row>
    <x:row r="26" ht="15" hidden="0" customHeight="1">
      <x:c r="A26" t="str">
        <x:v>MOVE_OPEN2_1H_R1</x:v>
      </x:c>
      <x:c r="B26" t="str">
        <x:v>이동</x:v>
      </x:c>
      <x:c r="C26" t="str">
        <x:v>실내 이동 경로</x:v>
      </x:c>
      <x:c r="D26" t="str">
        <x:v>오픈열람실2 AP</x:v>
      </x:c>
      <x:c r="E26" t="str">
        <x:v>이동</x:v>
      </x:c>
      <x:c r="F26" t="n">
        <x:v>60</x:v>
      </x:c>
      <x:c r="G26" t="n">
        <x:v>1</x:v>
      </x:c>
      <x:c r="H26" t="n">
        <x:v>25</x:v>
      </x:c>
      <x:c r="I26" s="62" t="n">
        <x:v>-47</x:v>
      </x:c>
      <x:c r="J26" s="62" t="n">
        <x:v>1201</x:v>
      </x:c>
      <x:c r="K26" s="62" t="n">
        <x:v>51</x:v>
      </x:c>
      <x:c r="L26" s="62" t="n">
        <x:v>16</x:v>
      </x:c>
      <x:c r="M26" s="62" t="n">
        <x:v>0</x:v>
      </x:c>
      <x:c r="N26" s="62" t="n">
        <x:v>31.9172</x:v>
      </x:c>
      <x:c r="O26" s="62" t="n">
        <x:v>55.0866</x:v>
      </x:c>
      <x:c r="P26" s="62" t="n">
        <x:f>IF(OR(N26="",O26=""),"",2*N26*O26/(N26+O26))</x:f>
        <x:v>40.41685603433413</x:v>
      </x:c>
      <x:c r="Q26" t="str">
        <x:v>이동하면서_오열2_1시간 측정_1.png</x:v>
      </x:c>
      <x:c r="R26" t="str">
        <x:v>기존 Excel 대응+이미지 보완</x:v>
      </x:c>
      <x:c r="S26" t="str"/>
    </x:row>
    <x:row r="27" ht="15" hidden="0" customHeight="1">
      <x:c r="A27" t="str">
        <x:v>MOVE_OPEN2_1H_R1</x:v>
      </x:c>
      <x:c r="B27" t="str">
        <x:v>이동</x:v>
      </x:c>
      <x:c r="C27" t="str">
        <x:v>실내 이동 경로</x:v>
      </x:c>
      <x:c r="D27" t="str">
        <x:v>오픈열람실2 AP</x:v>
      </x:c>
      <x:c r="E27" t="str">
        <x:v>이동</x:v>
      </x:c>
      <x:c r="F27" t="n">
        <x:v>60</x:v>
      </x:c>
      <x:c r="G27" t="n">
        <x:v>1</x:v>
      </x:c>
      <x:c r="H27" t="n">
        <x:v>26</x:v>
      </x:c>
      <x:c r="I27" s="62" t="n">
        <x:v>-45</x:v>
      </x:c>
      <x:c r="J27" s="62" t="n">
        <x:v>1201</x:v>
      </x:c>
      <x:c r="K27" s="62" t="n">
        <x:v>9</x:v>
      </x:c>
      <x:c r="L27" s="62" t="n">
        <x:v>5</x:v>
      </x:c>
      <x:c r="M27" s="62" t="n">
        <x:v>0</x:v>
      </x:c>
      <x:c r="N27" s="62" t="n">
        <x:v>8.1346</x:v>
      </x:c>
      <x:c r="O27" s="62" t="n">
        <x:v>51.7302</x:v>
      </x:c>
      <x:c r="P27" s="62" t="n">
        <x:f>IF(OR(N27="",O27=""),"",2*N27*O27/(N27+O27))</x:f>
        <x:v>14.058494638585614</x:v>
      </x:c>
      <x:c r="Q27" t="str">
        <x:v>이동하면서_오열2_1시간 측정_1.png</x:v>
      </x:c>
      <x:c r="R27" t="str">
        <x:v>기존 Excel 대응+이미지 보완</x:v>
      </x:c>
      <x:c r="S27" t="str"/>
    </x:row>
    <x:row r="28" ht="15" hidden="0" customHeight="1">
      <x:c r="A28" t="str">
        <x:v>MOVE_OPEN2_1H_R1</x:v>
      </x:c>
      <x:c r="B28" t="str">
        <x:v>이동</x:v>
      </x:c>
      <x:c r="C28" t="str">
        <x:v>실내 이동 경로</x:v>
      </x:c>
      <x:c r="D28" t="str">
        <x:v>오픈열람실2 AP</x:v>
      </x:c>
      <x:c r="E28" t="str">
        <x:v>이동</x:v>
      </x:c>
      <x:c r="F28" t="n">
        <x:v>60</x:v>
      </x:c>
      <x:c r="G28" t="n">
        <x:v>1</x:v>
      </x:c>
      <x:c r="H28" t="n">
        <x:v>27</x:v>
      </x:c>
      <x:c r="I28" s="62" t="n">
        <x:v>-44</x:v>
      </x:c>
      <x:c r="J28" s="62" t="n">
        <x:v>1201</x:v>
      </x:c>
      <x:c r="K28" s="62" t="n">
        <x:v>23</x:v>
      </x:c>
      <x:c r="L28" s="62" t="n">
        <x:v>16</x:v>
      </x:c>
      <x:c r="M28" s="62" t="n">
        <x:v>0</x:v>
      </x:c>
      <x:c r="N28" s="62" t="n">
        <x:v>4.3868</x:v>
      </x:c>
      <x:c r="O28" s="62" t="n">
        <x:v>59.9241</x:v>
      </x:c>
      <x:c r="P28" s="62" t="n">
        <x:f>IF(OR(N28="",O28=""),"",2*N28*O28/(N28+O28))</x:f>
        <x:v>8.175131801296514</x:v>
      </x:c>
      <x:c r="Q28" t="str">
        <x:v>이동하면서_오열2_1시간 측정_1.png</x:v>
      </x:c>
      <x:c r="R28" t="str">
        <x:v>기존 Excel 대응+이미지 보완</x:v>
      </x:c>
      <x:c r="S28" t="str"/>
    </x:row>
    <x:row r="29" ht="15" hidden="0" customHeight="1">
      <x:c r="A29" t="str">
        <x:v>MOVE_OPEN2_1H_R1</x:v>
      </x:c>
      <x:c r="B29" t="str">
        <x:v>이동</x:v>
      </x:c>
      <x:c r="C29" t="str">
        <x:v>실내 이동 경로</x:v>
      </x:c>
      <x:c r="D29" t="str">
        <x:v>오픈열람실2 AP</x:v>
      </x:c>
      <x:c r="E29" t="str">
        <x:v>이동</x:v>
      </x:c>
      <x:c r="F29" t="n">
        <x:v>60</x:v>
      </x:c>
      <x:c r="G29" t="n">
        <x:v>1</x:v>
      </x:c>
      <x:c r="H29" t="n">
        <x:v>28</x:v>
      </x:c>
      <x:c r="I29" s="62" t="n">
        <x:v>-47</x:v>
      </x:c>
      <x:c r="J29" s="62" t="n">
        <x:v>1201</x:v>
      </x:c>
      <x:c r="K29" s="62" t="n">
        <x:v>40</x:v>
      </x:c>
      <x:c r="L29" s="62" t="n">
        <x:v>15</x:v>
      </x:c>
      <x:c r="M29" s="62" t="n">
        <x:v>0</x:v>
      </x:c>
      <x:c r="N29" s="62"/>
      <x:c r="O29" s="62" t="n">
        <x:v>33.756</x:v>
      </x:c>
      <x:c r="P29" s="62" t="str">
        <x:f>IF(OR(N29="",O29=""),"",2*N29*O29/(N29+O29))</x:f>
      </x:c>
      <x:c r="Q29" t="str">
        <x:v>이동하면서_오열2_1시간 측정_1.png</x:v>
      </x:c>
      <x:c r="R29" t="str">
        <x:v>기존 Excel 대응+이미지 보완</x:v>
      </x:c>
      <x:c r="S29" t="str">
        <x:v>원본 이미지에서 NaN 확인</x:v>
      </x:c>
    </x:row>
  </x:sheetData>
  <x:pageMargins left="0.7" right="0.7" top="0.75" bottom="0.75" header="0.3" footer="0.3"/>
  <x:tableParts count="1">
    <x:tablePart xmlns:r="http://schemas.openxmlformats.org/officeDocument/2006/relationships" r:id="Radbe86f991b0472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20" hidden="0" customWidth="1"/>
    <x:col min="5" max="5" width="12" hidden="0" customWidth="1"/>
    <x:col min="6" max="6" width="12" hidden="0" customWidth="1"/>
    <x:col min="7" max="7" width="9" hidden="0" customWidth="1"/>
    <x:col min="8" max="8" width="14" hidden="0" customWidth="1"/>
    <x:col min="9" max="9" width="12" hidden="0" customWidth="1"/>
    <x:col min="10" max="10" width="12" hidden="0" customWidth="1"/>
    <x:col min="11" max="11" width="13" hidden="0" customWidth="1"/>
    <x:col min="12" max="12" width="12" hidden="0" customWidth="1"/>
    <x:col min="13" max="13" width="18" hidden="0" customWidth="1"/>
    <x:col min="14" max="14" width="14" hidden="0" customWidth="1"/>
    <x:col min="15" max="15" width="16" hidden="0" customWidth="1"/>
    <x:col min="16" max="16" width="17" hidden="0" customWidth="1"/>
    <x:col min="17" max="17" width="42" hidden="0" customWidth="1"/>
    <x:col min="18" max="18" width="22" hidden="0" customWidth="1"/>
    <x:col min="19" max="19" width="34" hidden="0" customWidth="1"/>
  </x:cols>
  <x:sheetData>
    <x:row r="1" ht="15" hidden="0" customHeight="1">
      <x:c r="A1" s="6" t="str">
        <x:v>측정세트_ID</x:v>
      </x:c>
      <x:c r="B1" s="6" t="str">
        <x:v>상태</x:v>
      </x:c>
      <x:c r="C1" s="6" t="str">
        <x:v>측정 위치</x:v>
      </x:c>
      <x:c r="D1" s="6" t="str">
        <x:v>대상 AP 구역</x:v>
      </x:c>
      <x:c r="E1" s="6" t="str">
        <x:v>측정 형태</x:v>
      </x:c>
      <x:c r="F1" s="6" t="str">
        <x:v>측정시간_min</x:v>
      </x:c>
      <x:c r="G1" s="6" t="str">
        <x:v>반복</x:v>
      </x:c>
      <x:c r="H1" s="6" t="str">
        <x:v>세트내_측정번호</x:v>
      </x:c>
      <x:c r="I1" s="6" t="str">
        <x:v>RSSI_dBm</x:v>
      </x:c>
      <x:c r="J1" s="6" t="str">
        <x:v>Link_Mbps</x:v>
      </x:c>
      <x:c r="K1" s="6" t="str">
        <x:v>UTIL_percent</x:v>
      </x:c>
      <x:c r="L1" s="6" t="str">
        <x:v>RTT_ms</x:v>
      </x:c>
      <x:c r="M1" s="6" t="str">
        <x:v>PacketLoss_percent</x:v>
      </x:c>
      <x:c r="N1" s="6" t="str">
        <x:v>Upload_Mbps</x:v>
      </x:c>
      <x:c r="O1" s="6" t="str">
        <x:v>Download_Mbps</x:v>
      </x:c>
      <x:c r="P1" s="6" t="str">
        <x:v>Effective_Mbps</x:v>
      </x:c>
      <x:c r="Q1" s="6" t="str">
        <x:v>원본 이미지</x:v>
      </x:c>
      <x:c r="R1" s="6" t="str">
        <x:v>데이터 출처</x:v>
      </x:c>
      <x:c r="S1" s="6" t="str">
        <x:v>검토 메모</x:v>
      </x:c>
    </x:row>
    <x:row r="2" ht="15" hidden="0" customHeight="1">
      <x:c r="A2" t="str">
        <x:v>MOVE_OPEN2_1H_R2</x:v>
      </x:c>
      <x:c r="B2" t="str">
        <x:v>이동</x:v>
      </x:c>
      <x:c r="C2" t="str">
        <x:v>실내 이동 경로</x:v>
      </x:c>
      <x:c r="D2" t="str">
        <x:v>오픈열람실2 AP</x:v>
      </x:c>
      <x:c r="E2" t="str">
        <x:v>이동</x:v>
      </x:c>
      <x:c r="F2" t="n">
        <x:v>60</x:v>
      </x:c>
      <x:c r="G2" t="n">
        <x:v>2</x:v>
      </x:c>
      <x:c r="H2" t="n">
        <x:v>1</x:v>
      </x:c>
      <x:c r="I2" s="62" t="n">
        <x:v>-44</x:v>
      </x:c>
      <x:c r="J2" s="62" t="n">
        <x:v>1201</x:v>
      </x:c>
      <x:c r="K2" s="62" t="n">
        <x:v>16</x:v>
      </x:c>
      <x:c r="L2" s="62" t="n">
        <x:v>17</x:v>
      </x:c>
      <x:c r="M2" s="62" t="n">
        <x:v>0</x:v>
      </x:c>
      <x:c r="N2" s="62" t="n">
        <x:v>5.8557</x:v>
      </x:c>
      <x:c r="O2" s="62" t="n">
        <x:v>67.6884</x:v>
      </x:c>
      <x:c r="P2" s="62" t="n">
        <x:f>IF(OR(N2="",O2=""),"",2*N2*O2/(N2+O2))</x:f>
        <x:v>10.778919420592542</x:v>
      </x:c>
      <x:c r="Q2" t="str">
        <x:v>이동하면서_오열2_1시간 측정_2.png</x:v>
      </x:c>
      <x:c r="R2" t="str">
        <x:v>기존 Excel 대응+이미지 보완</x:v>
      </x:c>
      <x:c r="S2" t="str"/>
    </x:row>
    <x:row r="3" ht="15" hidden="0" customHeight="1">
      <x:c r="A3" t="str">
        <x:v>MOVE_OPEN2_1H_R2</x:v>
      </x:c>
      <x:c r="B3" t="str">
        <x:v>이동</x:v>
      </x:c>
      <x:c r="C3" t="str">
        <x:v>실내 이동 경로</x:v>
      </x:c>
      <x:c r="D3" t="str">
        <x:v>오픈열람실2 AP</x:v>
      </x:c>
      <x:c r="E3" t="str">
        <x:v>이동</x:v>
      </x:c>
      <x:c r="F3" t="n">
        <x:v>60</x:v>
      </x:c>
      <x:c r="G3" t="n">
        <x:v>2</x:v>
      </x:c>
      <x:c r="H3" t="n">
        <x:v>2</x:v>
      </x:c>
      <x:c r="I3" s="62" t="n">
        <x:v>-73</x:v>
      </x:c>
      <x:c r="J3" s="62" t="n">
        <x:v>816.5</x:v>
      </x:c>
      <x:c r="K3" s="62" t="n">
        <x:v>33</x:v>
      </x:c>
      <x:c r="L3" s="62" t="n">
        <x:v>22</x:v>
      </x:c>
      <x:c r="M3" s="62" t="n">
        <x:v>6.6667</x:v>
      </x:c>
      <x:c r="N3" s="62" t="n">
        <x:v>18.8699</x:v>
      </x:c>
      <x:c r="O3" s="62" t="n">
        <x:v>62.1165</x:v>
      </x:c>
      <x:c r="P3" s="62" t="n">
        <x:f>IF(OR(N3="",O3=""),"",2*N3*O3/(N3+O3))</x:f>
        <x:v>28.94639453908311</x:v>
      </x:c>
      <x:c r="Q3" t="str">
        <x:v>이동하면서_오열2_1시간 측정_2.png</x:v>
      </x:c>
      <x:c r="R3" t="str">
        <x:v>기존 Excel 대응+이미지 보완</x:v>
      </x:c>
      <x:c r="S3" t="str"/>
    </x:row>
    <x:row r="4" ht="15" hidden="0" customHeight="1">
      <x:c r="A4" t="str">
        <x:v>MOVE_OPEN2_1H_R2</x:v>
      </x:c>
      <x:c r="B4" t="str">
        <x:v>이동</x:v>
      </x:c>
      <x:c r="C4" t="str">
        <x:v>실내 이동 경로</x:v>
      </x:c>
      <x:c r="D4" t="str">
        <x:v>오픈열람실2 AP</x:v>
      </x:c>
      <x:c r="E4" t="str">
        <x:v>이동</x:v>
      </x:c>
      <x:c r="F4" t="n">
        <x:v>60</x:v>
      </x:c>
      <x:c r="G4" t="n">
        <x:v>2</x:v>
      </x:c>
      <x:c r="H4" t="n">
        <x:v>3</x:v>
      </x:c>
      <x:c r="I4" s="62" t="n">
        <x:v>-67</x:v>
      </x:c>
      <x:c r="J4" s="62" t="n">
        <x:v>924.75</x:v>
      </x:c>
      <x:c r="K4" s="62" t="n">
        <x:v>31</x:v>
      </x:c>
      <x:c r="L4" s="62" t="n">
        <x:v>6</x:v>
      </x:c>
      <x:c r="M4" s="62" t="n">
        <x:v>0</x:v>
      </x:c>
      <x:c r="N4" s="62" t="n">
        <x:v>12.155</x:v>
      </x:c>
      <x:c r="O4" s="62" t="n">
        <x:v>45.1462</x:v>
      </x:c>
      <x:c r="P4" s="62" t="n">
        <x:f>IF(OR(N4="",O4=""),"",2*N4*O4/(N4+O4))</x:f>
        <x:v>19.153248483452355</x:v>
      </x:c>
      <x:c r="Q4" t="str">
        <x:v>이동하면서_오열2_1시간 측정_2.png</x:v>
      </x:c>
      <x:c r="R4" t="str">
        <x:v>기존 Excel 대응+이미지 보완</x:v>
      </x:c>
      <x:c r="S4" t="str"/>
    </x:row>
    <x:row r="5" ht="15" hidden="0" customHeight="1">
      <x:c r="A5" t="str">
        <x:v>MOVE_OPEN2_1H_R2</x:v>
      </x:c>
      <x:c r="B5" t="str">
        <x:v>이동</x:v>
      </x:c>
      <x:c r="C5" t="str">
        <x:v>실내 이동 경로</x:v>
      </x:c>
      <x:c r="D5" t="str">
        <x:v>오픈열람실2 AP</x:v>
      </x:c>
      <x:c r="E5" t="str">
        <x:v>이동</x:v>
      </x:c>
      <x:c r="F5" t="n">
        <x:v>60</x:v>
      </x:c>
      <x:c r="G5" t="n">
        <x:v>2</x:v>
      </x:c>
      <x:c r="H5" t="n">
        <x:v>4</x:v>
      </x:c>
      <x:c r="I5" s="62" t="n">
        <x:v>-71</x:v>
      </x:c>
      <x:c r="J5" s="62" t="n">
        <x:v>888.75</x:v>
      </x:c>
      <x:c r="K5" s="62" t="n">
        <x:v>52</x:v>
      </x:c>
      <x:c r="L5" s="62" t="n">
        <x:v>6</x:v>
      </x:c>
      <x:c r="M5" s="62" t="n">
        <x:v>0</x:v>
      </x:c>
      <x:c r="N5" s="62" t="n">
        <x:v>6.7052</x:v>
      </x:c>
      <x:c r="O5" s="62" t="n">
        <x:v>61.1121</x:v>
      </x:c>
      <x:c r="P5" s="62" t="n">
        <x:f>IF(OR(N5="",O5=""),"",2*N5*O5/(N5+O5))</x:f>
        <x:v>12.084493275904524</x:v>
      </x:c>
      <x:c r="Q5" t="str">
        <x:v>이동하면서_오열2_1시간 측정_2.png</x:v>
      </x:c>
      <x:c r="R5" t="str">
        <x:v>기존 Excel 대응+이미지 보완</x:v>
      </x:c>
      <x:c r="S5" t="str"/>
    </x:row>
    <x:row r="6" ht="15" hidden="0" customHeight="1">
      <x:c r="A6" t="str">
        <x:v>MOVE_OPEN2_1H_R2</x:v>
      </x:c>
      <x:c r="B6" t="str">
        <x:v>이동</x:v>
      </x:c>
      <x:c r="C6" t="str">
        <x:v>실내 이동 경로</x:v>
      </x:c>
      <x:c r="D6" t="str">
        <x:v>오픈열람실2 AP</x:v>
      </x:c>
      <x:c r="E6" t="str">
        <x:v>이동</x:v>
      </x:c>
      <x:c r="F6" t="n">
        <x:v>60</x:v>
      </x:c>
      <x:c r="G6" t="n">
        <x:v>2</x:v>
      </x:c>
      <x:c r="H6" t="n">
        <x:v>5</x:v>
      </x:c>
      <x:c r="I6" s="62" t="n">
        <x:v>-65</x:v>
      </x:c>
      <x:c r="J6" s="62" t="n">
        <x:v>960.75</x:v>
      </x:c>
      <x:c r="K6" s="62" t="n">
        <x:v>25</x:v>
      </x:c>
      <x:c r="L6" s="62" t="n">
        <x:v>20</x:v>
      </x:c>
      <x:c r="M6" s="62" t="n">
        <x:v>6.6667</x:v>
      </x:c>
      <x:c r="N6" s="62" t="n">
        <x:v>6.8567</x:v>
      </x:c>
      <x:c r="O6" s="62" t="n">
        <x:v>55.7032</x:v>
      </x:c>
      <x:c r="P6" s="62" t="n">
        <x:f>IF(OR(N6="",O6=""),"",2*N6*O6/(N6+O6))</x:f>
        <x:v>12.210381776185704</x:v>
      </x:c>
      <x:c r="Q6" t="str">
        <x:v>이동하면서_오열2_1시간 측정_2.png</x:v>
      </x:c>
      <x:c r="R6" t="str">
        <x:v>기존 Excel 대응+이미지 보완</x:v>
      </x:c>
      <x:c r="S6" t="str"/>
    </x:row>
    <x:row r="7" ht="15" hidden="0" customHeight="1">
      <x:c r="A7" t="str">
        <x:v>MOVE_OPEN2_1H_R2</x:v>
      </x:c>
      <x:c r="B7" t="str">
        <x:v>이동</x:v>
      </x:c>
      <x:c r="C7" t="str">
        <x:v>실내 이동 경로</x:v>
      </x:c>
      <x:c r="D7" t="str">
        <x:v>오픈열람실2 AP</x:v>
      </x:c>
      <x:c r="E7" t="str">
        <x:v>이동</x:v>
      </x:c>
      <x:c r="F7" t="n">
        <x:v>60</x:v>
      </x:c>
      <x:c r="G7" t="n">
        <x:v>2</x:v>
      </x:c>
      <x:c r="H7" t="n">
        <x:v>6</x:v>
      </x:c>
      <x:c r="I7" s="62" t="n">
        <x:v>-73</x:v>
      </x:c>
      <x:c r="J7" s="62" t="n">
        <x:v>888.75</x:v>
      </x:c>
      <x:c r="K7" s="62" t="n">
        <x:v>17</x:v>
      </x:c>
      <x:c r="L7" s="62" t="n">
        <x:v>7</x:v>
      </x:c>
      <x:c r="M7" s="62" t="n">
        <x:v>0</x:v>
      </x:c>
      <x:c r="N7" s="62" t="n">
        <x:v>0.4183</x:v>
      </x:c>
      <x:c r="O7" s="62" t="n">
        <x:v>64.6461</x:v>
      </x:c>
      <x:c r="P7" s="62" t="n">
        <x:f>IF(OR(N7="",O7=""),"",2*N7*O7/(N7+O7))</x:f>
        <x:v>0.8312214860968518</x:v>
      </x:c>
      <x:c r="Q7" t="str">
        <x:v>이동하면서_오열2_1시간 측정_2.png</x:v>
      </x:c>
      <x:c r="R7" t="str">
        <x:v>기존 Excel 대응+이미지 보완</x:v>
      </x:c>
      <x:c r="S7" t="str"/>
    </x:row>
    <x:row r="8" ht="15" hidden="0" customHeight="1">
      <x:c r="A8" t="str">
        <x:v>MOVE_OPEN2_1H_R2</x:v>
      </x:c>
      <x:c r="B8" t="str">
        <x:v>이동</x:v>
      </x:c>
      <x:c r="C8" t="str">
        <x:v>실내 이동 경로</x:v>
      </x:c>
      <x:c r="D8" t="str">
        <x:v>오픈열람실2 AP</x:v>
      </x:c>
      <x:c r="E8" t="str">
        <x:v>이동</x:v>
      </x:c>
      <x:c r="F8" t="n">
        <x:v>60</x:v>
      </x:c>
      <x:c r="G8" t="n">
        <x:v>2</x:v>
      </x:c>
      <x:c r="H8" t="n">
        <x:v>7</x:v>
      </x:c>
      <x:c r="I8" s="62" t="n">
        <x:v>-72</x:v>
      </x:c>
      <x:c r="J8" s="62" t="n">
        <x:v>888.75</x:v>
      </x:c>
      <x:c r="K8" s="62" t="n">
        <x:v>11</x:v>
      </x:c>
      <x:c r="L8" s="62" t="n">
        <x:v>15</x:v>
      </x:c>
      <x:c r="M8" s="62" t="n">
        <x:v>0</x:v>
      </x:c>
      <x:c r="N8" s="62" t="n">
        <x:v>11.3301</x:v>
      </x:c>
      <x:c r="O8" s="62" t="n">
        <x:v>69.52</x:v>
      </x:c>
      <x:c r="P8" s="62" t="n">
        <x:f>IF(OR(N8="",O8=""),"",2*N8*O8/(N8+O8))</x:f>
        <x:v>19.484664879820805</x:v>
      </x:c>
      <x:c r="Q8" t="str">
        <x:v>이동하면서_오열2_1시간 측정_2.png</x:v>
      </x:c>
      <x:c r="R8" t="str">
        <x:v>기존 Excel 대응+이미지 보완</x:v>
      </x:c>
      <x:c r="S8" t="str"/>
    </x:row>
    <x:row r="9" ht="15" hidden="0" customHeight="1">
      <x:c r="A9" t="str">
        <x:v>MOVE_OPEN2_1H_R2</x:v>
      </x:c>
      <x:c r="B9" t="str">
        <x:v>이동</x:v>
      </x:c>
      <x:c r="C9" t="str">
        <x:v>실내 이동 경로</x:v>
      </x:c>
      <x:c r="D9" t="str">
        <x:v>오픈열람실2 AP</x:v>
      </x:c>
      <x:c r="E9" t="str">
        <x:v>이동</x:v>
      </x:c>
      <x:c r="F9" t="n">
        <x:v>60</x:v>
      </x:c>
      <x:c r="G9" t="n">
        <x:v>2</x:v>
      </x:c>
      <x:c r="H9" t="n">
        <x:v>8</x:v>
      </x:c>
      <x:c r="I9" s="62" t="n">
        <x:v>-83</x:v>
      </x:c>
      <x:c r="J9" s="62" t="n">
        <x:v>924.75</x:v>
      </x:c>
      <x:c r="K9" s="62" t="n">
        <x:v>18</x:v>
      </x:c>
      <x:c r="L9" s="62" t="n">
        <x:v>7</x:v>
      </x:c>
      <x:c r="M9" s="62" t="n">
        <x:v>0</x:v>
      </x:c>
      <x:c r="N9" s="62" t="n">
        <x:v>9.6092</x:v>
      </x:c>
      <x:c r="O9" s="62" t="n">
        <x:v>69.4433</x:v>
      </x:c>
      <x:c r="P9" s="62" t="n">
        <x:f>IF(OR(N9="",O9=""),"",2*N9*O9/(N9+O9))</x:f>
        <x:v>16.88231386382467</x:v>
      </x:c>
      <x:c r="Q9" t="str">
        <x:v>이동하면서_오열2_1시간 측정_2.png</x:v>
      </x:c>
      <x:c r="R9" t="str">
        <x:v>기존 Excel 대응+이미지 보완</x:v>
      </x:c>
      <x:c r="S9" t="str"/>
    </x:row>
    <x:row r="10" ht="15" hidden="0" customHeight="1">
      <x:c r="A10" t="str">
        <x:v>MOVE_OPEN2_1H_R2</x:v>
      </x:c>
      <x:c r="B10" t="str">
        <x:v>이동</x:v>
      </x:c>
      <x:c r="C10" t="str">
        <x:v>실내 이동 경로</x:v>
      </x:c>
      <x:c r="D10" t="str">
        <x:v>오픈열람실2 AP</x:v>
      </x:c>
      <x:c r="E10" t="str">
        <x:v>이동</x:v>
      </x:c>
      <x:c r="F10" t="n">
        <x:v>60</x:v>
      </x:c>
      <x:c r="G10" t="n">
        <x:v>2</x:v>
      </x:c>
      <x:c r="H10" t="n">
        <x:v>9</x:v>
      </x:c>
      <x:c r="I10" s="62" t="n">
        <x:v>-73</x:v>
      </x:c>
      <x:c r="J10" s="62" t="n">
        <x:v>888.75</x:v>
      </x:c>
      <x:c r="K10" s="62" t="n">
        <x:v>15</x:v>
      </x:c>
      <x:c r="L10" s="62" t="n">
        <x:v>7</x:v>
      </x:c>
      <x:c r="M10" s="62" t="n">
        <x:v>3.3333</x:v>
      </x:c>
      <x:c r="N10" s="62" t="n">
        <x:v>4.8102</x:v>
      </x:c>
      <x:c r="O10" s="62" t="n">
        <x:v>48.8001</x:v>
      </x:c>
      <x:c r="P10" s="62" t="n">
        <x:f>IF(OR(N10="",O10=""),"",2*N10*O10/(N10+O10))</x:f>
        <x:v>8.757206768848523</x:v>
      </x:c>
      <x:c r="Q10" t="str">
        <x:v>이동하면서_오열2_1시간 측정_2.png</x:v>
      </x:c>
      <x:c r="R10" t="str">
        <x:v>기존 Excel 대응+이미지 보완</x:v>
      </x:c>
      <x:c r="S10" t="str"/>
    </x:row>
    <x:row r="11" ht="15" hidden="0" customHeight="1">
      <x:c r="A11" t="str">
        <x:v>MOVE_OPEN2_1H_R2</x:v>
      </x:c>
      <x:c r="B11" t="str">
        <x:v>이동</x:v>
      </x:c>
      <x:c r="C11" t="str">
        <x:v>실내 이동 경로</x:v>
      </x:c>
      <x:c r="D11" t="str">
        <x:v>오픈열람실2 AP</x:v>
      </x:c>
      <x:c r="E11" t="str">
        <x:v>이동</x:v>
      </x:c>
      <x:c r="F11" t="n">
        <x:v>60</x:v>
      </x:c>
      <x:c r="G11" t="n">
        <x:v>2</x:v>
      </x:c>
      <x:c r="H11" t="n">
        <x:v>10</x:v>
      </x:c>
      <x:c r="I11" s="62" t="n">
        <x:v>-69</x:v>
      </x:c>
      <x:c r="J11" s="62" t="n">
        <x:v>888.75</x:v>
      </x:c>
      <x:c r="K11" s="62" t="n">
        <x:v>7</x:v>
      </x:c>
      <x:c r="L11" s="62" t="n">
        <x:v>4</x:v>
      </x:c>
      <x:c r="M11" s="62" t="n">
        <x:v>6.6667</x:v>
      </x:c>
      <x:c r="N11" s="62" t="n">
        <x:v>9.6265</x:v>
      </x:c>
      <x:c r="O11" s="62" t="n">
        <x:v>56.0854</x:v>
      </x:c>
      <x:c r="P11" s="62" t="n">
        <x:f>IF(OR(N11="",O11=""),"",2*N11*O11/(N11+O11))</x:f>
        <x:v>16.432521448930864</x:v>
      </x:c>
      <x:c r="Q11" t="str">
        <x:v>이동하면서_오열2_1시간 측정_2.png</x:v>
      </x:c>
      <x:c r="R11" t="str">
        <x:v>기존 Excel 대응+이미지 보완</x:v>
      </x:c>
      <x:c r="S11" t="str"/>
    </x:row>
    <x:row r="12" ht="15" hidden="0" customHeight="1">
      <x:c r="A12" t="str">
        <x:v>MOVE_OPEN2_1H_R2</x:v>
      </x:c>
      <x:c r="B12" t="str">
        <x:v>이동</x:v>
      </x:c>
      <x:c r="C12" t="str">
        <x:v>실내 이동 경로</x:v>
      </x:c>
      <x:c r="D12" t="str">
        <x:v>오픈열람실2 AP</x:v>
      </x:c>
      <x:c r="E12" t="str">
        <x:v>이동</x:v>
      </x:c>
      <x:c r="F12" t="n">
        <x:v>60</x:v>
      </x:c>
      <x:c r="G12" t="n">
        <x:v>2</x:v>
      </x:c>
      <x:c r="H12" t="n">
        <x:v>11</x:v>
      </x:c>
      <x:c r="I12" s="62" t="n">
        <x:v>-71</x:v>
      </x:c>
      <x:c r="J12" s="62" t="n">
        <x:v>924.75</x:v>
      </x:c>
      <x:c r="K12" s="62" t="n">
        <x:v>9</x:v>
      </x:c>
      <x:c r="L12" s="62" t="n">
        <x:v>15</x:v>
      </x:c>
      <x:c r="M12" s="62" t="n">
        <x:v>0</x:v>
      </x:c>
      <x:c r="N12" s="62" t="n">
        <x:v>23.6331</x:v>
      </x:c>
      <x:c r="O12" s="62" t="n">
        <x:v>40.3151</x:v>
      </x:c>
      <x:c r="P12" s="62" t="n">
        <x:f>IF(OR(N12="",O12=""),"",2*N12*O12/(N12+O12))</x:f>
        <x:v>29.798205103818404</x:v>
      </x:c>
      <x:c r="Q12" t="str">
        <x:v>이동하면서_오열2_1시간 측정_2.png</x:v>
      </x:c>
      <x:c r="R12" t="str">
        <x:v>기존 Excel 대응+이미지 보완</x:v>
      </x:c>
      <x:c r="S12" t="str"/>
    </x:row>
    <x:row r="13" ht="15" hidden="0" customHeight="1">
      <x:c r="A13" t="str">
        <x:v>MOVE_OPEN2_1H_R2</x:v>
      </x:c>
      <x:c r="B13" t="str">
        <x:v>이동</x:v>
      </x:c>
      <x:c r="C13" t="str">
        <x:v>실내 이동 경로</x:v>
      </x:c>
      <x:c r="D13" t="str">
        <x:v>오픈열람실2 AP</x:v>
      </x:c>
      <x:c r="E13" t="str">
        <x:v>이동</x:v>
      </x:c>
      <x:c r="F13" t="n">
        <x:v>60</x:v>
      </x:c>
      <x:c r="G13" t="n">
        <x:v>2</x:v>
      </x:c>
      <x:c r="H13" t="n">
        <x:v>12</x:v>
      </x:c>
      <x:c r="I13" s="62" t="n">
        <x:v>-55</x:v>
      </x:c>
      <x:c r="J13" s="62" t="n">
        <x:v>1201</x:v>
      </x:c>
      <x:c r="K13" s="62" t="n">
        <x:v>7</x:v>
      </x:c>
      <x:c r="L13" s="62" t="n">
        <x:v>9</x:v>
      </x:c>
      <x:c r="M13" s="62" t="n">
        <x:v>0</x:v>
      </x:c>
      <x:c r="N13" s="62" t="n">
        <x:v>28.8846</x:v>
      </x:c>
      <x:c r="O13" s="62" t="n">
        <x:v>124.9588</x:v>
      </x:c>
      <x:c r="P13" s="62" t="n">
        <x:f>IF(OR(N13="",O13=""),"",2*N13*O13/(N13+O13))</x:f>
        <x:v>46.92284432715345</x:v>
      </x:c>
      <x:c r="Q13" t="str">
        <x:v>이동하면서_오열2_1시간 측정_2.png</x:v>
      </x:c>
      <x:c r="R13" t="str">
        <x:v>기존 Excel 대응+이미지 보완</x:v>
      </x:c>
      <x:c r="S13" t="str"/>
    </x:row>
    <x:row r="14" ht="15" hidden="0" customHeight="1">
      <x:c r="A14" t="str">
        <x:v>MOVE_OPEN2_1H_R2</x:v>
      </x:c>
      <x:c r="B14" t="str">
        <x:v>이동</x:v>
      </x:c>
      <x:c r="C14" t="str">
        <x:v>실내 이동 경로</x:v>
      </x:c>
      <x:c r="D14" t="str">
        <x:v>오픈열람실2 AP</x:v>
      </x:c>
      <x:c r="E14" t="str">
        <x:v>이동</x:v>
      </x:c>
      <x:c r="F14" t="n">
        <x:v>60</x:v>
      </x:c>
      <x:c r="G14" t="n">
        <x:v>2</x:v>
      </x:c>
      <x:c r="H14" t="n">
        <x:v>13</x:v>
      </x:c>
      <x:c r="I14" s="62" t="n">
        <x:v>-49</x:v>
      </x:c>
      <x:c r="J14" s="62" t="n">
        <x:v>1201</x:v>
      </x:c>
      <x:c r="K14" s="62" t="n">
        <x:v>10</x:v>
      </x:c>
      <x:c r="L14" s="62" t="n">
        <x:v>6</x:v>
      </x:c>
      <x:c r="M14" s="62" t="n">
        <x:v>0</x:v>
      </x:c>
      <x:c r="N14" s="62"/>
      <x:c r="O14" s="62" t="n">
        <x:v>170.1292</x:v>
      </x:c>
      <x:c r="P14" s="62" t="str">
        <x:f>IF(OR(N14="",O14=""),"",2*N14*O14/(N14+O14))</x:f>
      </x:c>
      <x:c r="Q14" t="str">
        <x:v>이동하면서_오열2_1시간 측정_2.png</x:v>
      </x:c>
      <x:c r="R14" t="str">
        <x:v>기존 Excel 대응+이미지 보완</x:v>
      </x:c>
      <x:c r="S14" t="str">
        <x:v>원본 이미지에서 NaN 확인</x:v>
      </x:c>
    </x:row>
    <x:row r="15" ht="15" hidden="0" customHeight="1">
      <x:c r="A15" t="str">
        <x:v>MOVE_OPEN2_1H_R2</x:v>
      </x:c>
      <x:c r="B15" t="str">
        <x:v>이동</x:v>
      </x:c>
      <x:c r="C15" t="str">
        <x:v>실내 이동 경로</x:v>
      </x:c>
      <x:c r="D15" t="str">
        <x:v>오픈열람실2 AP</x:v>
      </x:c>
      <x:c r="E15" t="str">
        <x:v>이동</x:v>
      </x:c>
      <x:c r="F15" t="n">
        <x:v>60</x:v>
      </x:c>
      <x:c r="G15" t="n">
        <x:v>2</x:v>
      </x:c>
      <x:c r="H15" t="n">
        <x:v>14</x:v>
      </x:c>
      <x:c r="I15" s="62" t="n">
        <x:v>-50</x:v>
      </x:c>
      <x:c r="J15" s="62" t="n">
        <x:v>1201</x:v>
      </x:c>
      <x:c r="K15" s="62" t="n">
        <x:v>12</x:v>
      </x:c>
      <x:c r="L15" s="62" t="n">
        <x:v>8</x:v>
      </x:c>
      <x:c r="M15" s="62" t="n">
        <x:v>3.3333</x:v>
      </x:c>
      <x:c r="N15" s="62" t="n">
        <x:v>15.7022</x:v>
      </x:c>
      <x:c r="O15" s="62" t="n">
        <x:v>168.1681</x:v>
      </x:c>
      <x:c r="P15" s="62" t="n">
        <x:f>IF(OR(N15="",O15=""),"",2*N15*O15/(N15+O15))</x:f>
        <x:v>28.72251951315683</x:v>
      </x:c>
      <x:c r="Q15" t="str">
        <x:v>이동하면서_오열2_1시간 측정_2.png</x:v>
      </x:c>
      <x:c r="R15" t="str">
        <x:v>기존 Excel 대응+이미지 보완</x:v>
      </x:c>
      <x:c r="S15" t="str"/>
    </x:row>
    <x:row r="16" ht="15" hidden="0" customHeight="1">
      <x:c r="A16" t="str">
        <x:v>MOVE_OPEN2_1H_R2</x:v>
      </x:c>
      <x:c r="B16" t="str">
        <x:v>이동</x:v>
      </x:c>
      <x:c r="C16" t="str">
        <x:v>실내 이동 경로</x:v>
      </x:c>
      <x:c r="D16" t="str">
        <x:v>오픈열람실2 AP</x:v>
      </x:c>
      <x:c r="E16" t="str">
        <x:v>이동</x:v>
      </x:c>
      <x:c r="F16" t="n">
        <x:v>60</x:v>
      </x:c>
      <x:c r="G16" t="n">
        <x:v>2</x:v>
      </x:c>
      <x:c r="H16" t="n">
        <x:v>15</x:v>
      </x:c>
      <x:c r="I16" s="62" t="n">
        <x:v>-49</x:v>
      </x:c>
      <x:c r="J16" s="62" t="n">
        <x:v>1201</x:v>
      </x:c>
      <x:c r="K16" s="62" t="n">
        <x:v>8</x:v>
      </x:c>
      <x:c r="L16" s="62" t="n">
        <x:v>4</x:v>
      </x:c>
      <x:c r="M16" s="62" t="n">
        <x:v>0</x:v>
      </x:c>
      <x:c r="N16" s="62" t="n">
        <x:v>26.7813</x:v>
      </x:c>
      <x:c r="O16" s="62" t="n">
        <x:v>164.6582</x:v>
      </x:c>
      <x:c r="P16" s="62" t="n">
        <x:f>IF(OR(N16="",O16=""),"",2*N16*O16/(N16+O16))</x:f>
        <x:v>46.06949612446752</x:v>
      </x:c>
      <x:c r="Q16" t="str">
        <x:v>이동하면서_오열2_1시간 측정_2.png</x:v>
      </x:c>
      <x:c r="R16" t="str">
        <x:v>기존 Excel 대응+이미지 보완</x:v>
      </x:c>
      <x:c r="S16" t="str"/>
    </x:row>
    <x:row r="17" ht="15" hidden="0" customHeight="1">
      <x:c r="A17" t="str">
        <x:v>MOVE_OPEN2_1H_R2</x:v>
      </x:c>
      <x:c r="B17" t="str">
        <x:v>이동</x:v>
      </x:c>
      <x:c r="C17" t="str">
        <x:v>실내 이동 경로</x:v>
      </x:c>
      <x:c r="D17" t="str">
        <x:v>오픈열람실2 AP</x:v>
      </x:c>
      <x:c r="E17" t="str">
        <x:v>이동</x:v>
      </x:c>
      <x:c r="F17" t="n">
        <x:v>60</x:v>
      </x:c>
      <x:c r="G17" t="n">
        <x:v>2</x:v>
      </x:c>
      <x:c r="H17" t="n">
        <x:v>16</x:v>
      </x:c>
      <x:c r="I17" s="62" t="n">
        <x:v>-53</x:v>
      </x:c>
      <x:c r="J17" s="62" t="n">
        <x:v>1201</x:v>
      </x:c>
      <x:c r="K17" s="62" t="n">
        <x:v>12</x:v>
      </x:c>
      <x:c r="L17" s="62" t="n">
        <x:v>13</x:v>
      </x:c>
      <x:c r="M17" s="62" t="n">
        <x:v>0</x:v>
      </x:c>
      <x:c r="N17" s="62" t="n">
        <x:v>26.1376</x:v>
      </x:c>
      <x:c r="O17" s="62" t="n">
        <x:v>158.7664</x:v>
      </x:c>
      <x:c r="P17" s="62" t="n">
        <x:f>IF(OR(N17="",O17=""),"",2*N17*O17/(N17+O17))</x:f>
        <x:v>44.885699137282046</x:v>
      </x:c>
      <x:c r="Q17" t="str">
        <x:v>이동하면서_오열2_1시간 측정_2.png</x:v>
      </x:c>
      <x:c r="R17" t="str">
        <x:v>기존 Excel 대응+이미지 보완</x:v>
      </x:c>
      <x:c r="S17" t="str"/>
    </x:row>
    <x:row r="18" ht="15" hidden="0" customHeight="1">
      <x:c r="A18" t="str">
        <x:v>MOVE_OPEN2_1H_R2</x:v>
      </x:c>
      <x:c r="B18" t="str">
        <x:v>이동</x:v>
      </x:c>
      <x:c r="C18" t="str">
        <x:v>실내 이동 경로</x:v>
      </x:c>
      <x:c r="D18" t="str">
        <x:v>오픈열람실2 AP</x:v>
      </x:c>
      <x:c r="E18" t="str">
        <x:v>이동</x:v>
      </x:c>
      <x:c r="F18" t="n">
        <x:v>60</x:v>
      </x:c>
      <x:c r="G18" t="n">
        <x:v>2</x:v>
      </x:c>
      <x:c r="H18" t="n">
        <x:v>17</x:v>
      </x:c>
      <x:c r="I18" s="62" t="n">
        <x:v>-51</x:v>
      </x:c>
      <x:c r="J18" s="62" t="n">
        <x:v>1201</x:v>
      </x:c>
      <x:c r="K18" s="62" t="n">
        <x:v>12</x:v>
      </x:c>
      <x:c r="L18" s="62" t="n">
        <x:v>8</x:v>
      </x:c>
      <x:c r="M18" s="62" t="n">
        <x:v>0</x:v>
      </x:c>
      <x:c r="N18" s="62" t="n">
        <x:v>24.3345</x:v>
      </x:c>
      <x:c r="O18" s="62" t="n">
        <x:v>181.1509</x:v>
      </x:c>
      <x:c r="P18" s="62" t="n">
        <x:f>IF(OR(N18="",O18=""),"",2*N18*O18/(N18+O18))</x:f>
        <x:v>42.90539937192618</x:v>
      </x:c>
      <x:c r="Q18" t="str">
        <x:v>이동하면서_오열2_1시간 측정_2.png</x:v>
      </x:c>
      <x:c r="R18" t="str">
        <x:v>기존 Excel 대응+이미지 보완</x:v>
      </x:c>
      <x:c r="S18" t="str"/>
    </x:row>
    <x:row r="19" ht="15" hidden="0" customHeight="1">
      <x:c r="A19" t="str">
        <x:v>MOVE_OPEN2_1H_R2</x:v>
      </x:c>
      <x:c r="B19" t="str">
        <x:v>이동</x:v>
      </x:c>
      <x:c r="C19" t="str">
        <x:v>실내 이동 경로</x:v>
      </x:c>
      <x:c r="D19" t="str">
        <x:v>오픈열람실2 AP</x:v>
      </x:c>
      <x:c r="E19" t="str">
        <x:v>이동</x:v>
      </x:c>
      <x:c r="F19" t="n">
        <x:v>60</x:v>
      </x:c>
      <x:c r="G19" t="n">
        <x:v>2</x:v>
      </x:c>
      <x:c r="H19" t="n">
        <x:v>18</x:v>
      </x:c>
      <x:c r="I19" s="62" t="n">
        <x:v>-49</x:v>
      </x:c>
      <x:c r="J19" s="62" t="n">
        <x:v>1201</x:v>
      </x:c>
      <x:c r="K19" s="62" t="n">
        <x:v>12</x:v>
      </x:c>
      <x:c r="L19" s="62" t="n">
        <x:v>5</x:v>
      </x:c>
      <x:c r="M19" s="62" t="n">
        <x:v>0</x:v>
      </x:c>
      <x:c r="N19" s="62" t="n">
        <x:v>13.3548</x:v>
      </x:c>
      <x:c r="O19" s="62" t="n">
        <x:v>135.5461</x:v>
      </x:c>
      <x:c r="P19" s="62" t="n">
        <x:f>IF(OR(N19="",O19=""),"",2*N19*O19/(N19+O19))</x:f>
        <x:v>24.314037810113973</x:v>
      </x:c>
      <x:c r="Q19" t="str">
        <x:v>이동하면서_오열2_1시간 측정_2.png</x:v>
      </x:c>
      <x:c r="R19" t="str">
        <x:v>기존 Excel 대응+이미지 보완</x:v>
      </x:c>
      <x:c r="S19" t="str"/>
    </x:row>
    <x:row r="20" ht="15" hidden="0" customHeight="1">
      <x:c r="A20" t="str">
        <x:v>MOVE_OPEN2_1H_R2</x:v>
      </x:c>
      <x:c r="B20" t="str">
        <x:v>이동</x:v>
      </x:c>
      <x:c r="C20" t="str">
        <x:v>실내 이동 경로</x:v>
      </x:c>
      <x:c r="D20" t="str">
        <x:v>오픈열람실2 AP</x:v>
      </x:c>
      <x:c r="E20" t="str">
        <x:v>이동</x:v>
      </x:c>
      <x:c r="F20" t="n">
        <x:v>60</x:v>
      </x:c>
      <x:c r="G20" t="n">
        <x:v>2</x:v>
      </x:c>
      <x:c r="H20" t="n">
        <x:v>19</x:v>
      </x:c>
      <x:c r="I20" s="62" t="n">
        <x:v>-49</x:v>
      </x:c>
      <x:c r="J20" s="62" t="n">
        <x:v>1201</x:v>
      </x:c>
      <x:c r="K20" s="62" t="n">
        <x:v>10</x:v>
      </x:c>
      <x:c r="L20" s="62" t="n">
        <x:v>5</x:v>
      </x:c>
      <x:c r="M20" s="62" t="n">
        <x:v>0</x:v>
      </x:c>
      <x:c r="N20" s="62" t="n">
        <x:v>15.7139</x:v>
      </x:c>
      <x:c r="O20" s="62" t="n">
        <x:v>165.8387</x:v>
      </x:c>
      <x:c r="P20" s="62" t="n">
        <x:f>IF(OR(N20="",O20=""),"",2*N20*O20/(N20+O20))</x:f>
        <x:v>28.707633467435887</x:v>
      </x:c>
      <x:c r="Q20" t="str">
        <x:v>이동하면서_오열2_1시간 측정_2.png</x:v>
      </x:c>
      <x:c r="R20" t="str">
        <x:v>기존 Excel 대응+이미지 보완</x:v>
      </x:c>
      <x:c r="S20" t="str"/>
    </x:row>
    <x:row r="21" ht="15" hidden="0" customHeight="1">
      <x:c r="A21" t="str">
        <x:v>MOVE_OPEN2_1H_R2</x:v>
      </x:c>
      <x:c r="B21" t="str">
        <x:v>이동</x:v>
      </x:c>
      <x:c r="C21" t="str">
        <x:v>실내 이동 경로</x:v>
      </x:c>
      <x:c r="D21" t="str">
        <x:v>오픈열람실2 AP</x:v>
      </x:c>
      <x:c r="E21" t="str">
        <x:v>이동</x:v>
      </x:c>
      <x:c r="F21" t="n">
        <x:v>60</x:v>
      </x:c>
      <x:c r="G21" t="n">
        <x:v>2</x:v>
      </x:c>
      <x:c r="H21" t="n">
        <x:v>20</x:v>
      </x:c>
      <x:c r="I21" s="62" t="n">
        <x:v>-50</x:v>
      </x:c>
      <x:c r="J21" s="62" t="n">
        <x:v>1201</x:v>
      </x:c>
      <x:c r="K21" s="62" t="n">
        <x:v>11</x:v>
      </x:c>
      <x:c r="L21" s="62" t="n">
        <x:v>6</x:v>
      </x:c>
      <x:c r="M21" s="62" t="n">
        <x:v>0</x:v>
      </x:c>
      <x:c r="N21" s="62" t="n">
        <x:v>37.0462</x:v>
      </x:c>
      <x:c r="O21" s="62" t="n">
        <x:v>176.3955</x:v>
      </x:c>
      <x:c r="P21" s="62" t="n">
        <x:f>IF(OR(N21="",O21=""),"",2*N21*O21/(N21+O21))</x:f>
        <x:v>61.23248617397631</x:v>
      </x:c>
      <x:c r="Q21" t="str">
        <x:v>이동하면서_오열2_1시간 측정_2.png</x:v>
      </x:c>
      <x:c r="R21" t="str">
        <x:v>기존 Excel 대응+이미지 보완</x:v>
      </x:c>
      <x:c r="S21" t="str"/>
    </x:row>
    <x:row r="22" ht="15" hidden="0" customHeight="1">
      <x:c r="A22" t="str">
        <x:v>MOVE_OPEN2_1H_R2</x:v>
      </x:c>
      <x:c r="B22" t="str">
        <x:v>이동</x:v>
      </x:c>
      <x:c r="C22" t="str">
        <x:v>실내 이동 경로</x:v>
      </x:c>
      <x:c r="D22" t="str">
        <x:v>오픈열람실2 AP</x:v>
      </x:c>
      <x:c r="E22" t="str">
        <x:v>이동</x:v>
      </x:c>
      <x:c r="F22" t="n">
        <x:v>60</x:v>
      </x:c>
      <x:c r="G22" t="n">
        <x:v>2</x:v>
      </x:c>
      <x:c r="H22" t="n">
        <x:v>21</x:v>
      </x:c>
      <x:c r="I22" s="62" t="n">
        <x:v>-51</x:v>
      </x:c>
      <x:c r="J22" s="62" t="n">
        <x:v>1201</x:v>
      </x:c>
      <x:c r="K22" s="62" t="n">
        <x:v>17</x:v>
      </x:c>
      <x:c r="L22" s="62" t="n">
        <x:v>4</x:v>
      </x:c>
      <x:c r="M22" s="62" t="n">
        <x:v>0</x:v>
      </x:c>
      <x:c r="N22" s="62" t="n">
        <x:v>19.4769</x:v>
      </x:c>
      <x:c r="O22" s="62" t="n">
        <x:v>185.9013</x:v>
      </x:c>
      <x:c r="P22" s="62" t="n">
        <x:f>IF(OR(N22="",O22=""),"",2*N22*O22/(N22+O22))</x:f>
        <x:v>35.259643233507745</x:v>
      </x:c>
      <x:c r="Q22" t="str">
        <x:v>이동하면서_오열2_1시간 측정_2.png</x:v>
      </x:c>
      <x:c r="R22" t="str">
        <x:v>기존 Excel 대응+이미지 보완</x:v>
      </x:c>
      <x:c r="S22" t="str"/>
    </x:row>
    <x:row r="23" ht="15" hidden="0" customHeight="1">
      <x:c r="A23" t="str">
        <x:v>MOVE_OPEN2_1H_R2</x:v>
      </x:c>
      <x:c r="B23" t="str">
        <x:v>이동</x:v>
      </x:c>
      <x:c r="C23" t="str">
        <x:v>실내 이동 경로</x:v>
      </x:c>
      <x:c r="D23" t="str">
        <x:v>오픈열람실2 AP</x:v>
      </x:c>
      <x:c r="E23" t="str">
        <x:v>이동</x:v>
      </x:c>
      <x:c r="F23" t="n">
        <x:v>60</x:v>
      </x:c>
      <x:c r="G23" t="n">
        <x:v>2</x:v>
      </x:c>
      <x:c r="H23" t="n">
        <x:v>22</x:v>
      </x:c>
      <x:c r="I23" s="62" t="n">
        <x:v>-51</x:v>
      </x:c>
      <x:c r="J23" s="62" t="n">
        <x:v>1201</x:v>
      </x:c>
      <x:c r="K23" s="62" t="n">
        <x:v>15</x:v>
      </x:c>
      <x:c r="L23" s="62" t="n">
        <x:v>4</x:v>
      </x:c>
      <x:c r="M23" s="62" t="n">
        <x:v>0</x:v>
      </x:c>
      <x:c r="N23" s="62" t="n">
        <x:v>20.2269</x:v>
      </x:c>
      <x:c r="O23" s="62" t="n">
        <x:v>147.2338</x:v>
      </x:c>
      <x:c r="P23" s="62" t="n">
        <x:f>IF(OR(N23="",O23=""),"",2*N23*O23/(N23+O23))</x:f>
        <x:v>35.56754927239645</x:v>
      </x:c>
      <x:c r="Q23" t="str">
        <x:v>이동하면서_오열2_1시간 측정_2.png</x:v>
      </x:c>
      <x:c r="R23" t="str">
        <x:v>기존 Excel 대응+이미지 보완</x:v>
      </x:c>
      <x:c r="S23" t="str"/>
    </x:row>
    <x:row r="24" ht="15" hidden="0" customHeight="1">
      <x:c r="A24" t="str">
        <x:v>MOVE_OPEN2_1H_R2</x:v>
      </x:c>
      <x:c r="B24" t="str">
        <x:v>이동</x:v>
      </x:c>
      <x:c r="C24" t="str">
        <x:v>실내 이동 경로</x:v>
      </x:c>
      <x:c r="D24" t="str">
        <x:v>오픈열람실2 AP</x:v>
      </x:c>
      <x:c r="E24" t="str">
        <x:v>이동</x:v>
      </x:c>
      <x:c r="F24" t="n">
        <x:v>60</x:v>
      </x:c>
      <x:c r="G24" t="n">
        <x:v>2</x:v>
      </x:c>
      <x:c r="H24" t="n">
        <x:v>23</x:v>
      </x:c>
      <x:c r="I24" s="62" t="n">
        <x:v>-49</x:v>
      </x:c>
      <x:c r="J24" s="62" t="n">
        <x:v>1201</x:v>
      </x:c>
      <x:c r="K24" s="62" t="n">
        <x:v>33</x:v>
      </x:c>
      <x:c r="L24" s="62" t="n">
        <x:v>5</x:v>
      </x:c>
      <x:c r="M24" s="62" t="n">
        <x:v>0</x:v>
      </x:c>
      <x:c r="N24" s="62" t="n">
        <x:v>73.3027</x:v>
      </x:c>
      <x:c r="O24" s="62" t="n">
        <x:v>151.9382</x:v>
      </x:c>
      <x:c r="P24" s="62" t="n">
        <x:f>IF(OR(N24="",O24=""),"",2*N24*O24/(N24+O24))</x:f>
        <x:v>98.8939423802693</x:v>
      </x:c>
      <x:c r="Q24" t="str">
        <x:v>이동하면서_오열2_1시간 측정_2.png</x:v>
      </x:c>
      <x:c r="R24" t="str">
        <x:v>기존 Excel 대응+이미지 보완</x:v>
      </x:c>
      <x:c r="S24" t="str"/>
    </x:row>
    <x:row r="25" ht="15" hidden="0" customHeight="1">
      <x:c r="A25" t="str">
        <x:v>MOVE_OPEN2_1H_R2</x:v>
      </x:c>
      <x:c r="B25" t="str">
        <x:v>이동</x:v>
      </x:c>
      <x:c r="C25" t="str">
        <x:v>실내 이동 경로</x:v>
      </x:c>
      <x:c r="D25" t="str">
        <x:v>오픈열람실2 AP</x:v>
      </x:c>
      <x:c r="E25" t="str">
        <x:v>이동</x:v>
      </x:c>
      <x:c r="F25" t="n">
        <x:v>60</x:v>
      </x:c>
      <x:c r="G25" t="n">
        <x:v>2</x:v>
      </x:c>
      <x:c r="H25" t="n">
        <x:v>24</x:v>
      </x:c>
      <x:c r="I25" s="62" t="n">
        <x:v>-60</x:v>
      </x:c>
      <x:c r="J25" s="62" t="n">
        <x:v>1201</x:v>
      </x:c>
      <x:c r="K25" s="62" t="n">
        <x:v>22</x:v>
      </x:c>
      <x:c r="L25" s="62" t="n">
        <x:v>22</x:v>
      </x:c>
      <x:c r="M25" s="62" t="n">
        <x:v>0</x:v>
      </x:c>
      <x:c r="N25" s="62" t="n">
        <x:v>12.3227</x:v>
      </x:c>
      <x:c r="O25" s="62" t="n">
        <x:v>96.8098</x:v>
      </x:c>
      <x:c r="P25" s="62" t="n">
        <x:f>IF(OR(N25="",O25=""),"",2*N25*O25/(N25+O25))</x:f>
        <x:v>21.862563809314366</x:v>
      </x:c>
      <x:c r="Q25" t="str">
        <x:v>이동하면서_오열2_1시간 측정_2.png</x:v>
      </x:c>
      <x:c r="R25" t="str">
        <x:v>기존 Excel 대응+이미지 보완</x:v>
      </x:c>
      <x:c r="S25" t="str"/>
    </x:row>
    <x:row r="26" ht="15" hidden="0" customHeight="1">
      <x:c r="A26" t="str">
        <x:v>MOVE_OPEN2_1H_R2</x:v>
      </x:c>
      <x:c r="B26" t="str">
        <x:v>이동</x:v>
      </x:c>
      <x:c r="C26" t="str">
        <x:v>실내 이동 경로</x:v>
      </x:c>
      <x:c r="D26" t="str">
        <x:v>오픈열람실2 AP</x:v>
      </x:c>
      <x:c r="E26" t="str">
        <x:v>이동</x:v>
      </x:c>
      <x:c r="F26" t="n">
        <x:v>60</x:v>
      </x:c>
      <x:c r="G26" t="n">
        <x:v>2</x:v>
      </x:c>
      <x:c r="H26" t="n">
        <x:v>25</x:v>
      </x:c>
      <x:c r="I26" s="62" t="n">
        <x:v>-70</x:v>
      </x:c>
      <x:c r="J26" s="62" t="n">
        <x:v>960.75</x:v>
      </x:c>
      <x:c r="K26" s="62" t="n">
        <x:v>35</x:v>
      </x:c>
      <x:c r="L26" s="62" t="n">
        <x:v>6</x:v>
      </x:c>
      <x:c r="M26" s="62" t="n">
        <x:v>0</x:v>
      </x:c>
      <x:c r="N26" s="62" t="n">
        <x:v>9.6394</x:v>
      </x:c>
      <x:c r="O26" s="62" t="n">
        <x:v>73.1843</x:v>
      </x:c>
      <x:c r="P26" s="62" t="n">
        <x:f>IF(OR(N26="",O26=""),"",2*N26*O26/(N26+O26))</x:f>
        <x:v>17.035045317222004</x:v>
      </x:c>
      <x:c r="Q26" t="str">
        <x:v>이동하면서_오열2_1시간 측정_2.png</x:v>
      </x:c>
      <x:c r="R26" t="str">
        <x:v>기존 Excel 대응+이미지 보완</x:v>
      </x:c>
      <x:c r="S26" t="str"/>
    </x:row>
    <x:row r="27" ht="15" hidden="0" customHeight="1">
      <x:c r="A27" t="str">
        <x:v>MOVE_OPEN2_1H_R2</x:v>
      </x:c>
      <x:c r="B27" t="str">
        <x:v>이동</x:v>
      </x:c>
      <x:c r="C27" t="str">
        <x:v>실내 이동 경로</x:v>
      </x:c>
      <x:c r="D27" t="str">
        <x:v>오픈열람실2 AP</x:v>
      </x:c>
      <x:c r="E27" t="str">
        <x:v>이동</x:v>
      </x:c>
      <x:c r="F27" t="n">
        <x:v>60</x:v>
      </x:c>
      <x:c r="G27" t="n">
        <x:v>2</x:v>
      </x:c>
      <x:c r="H27" t="n">
        <x:v>26</x:v>
      </x:c>
      <x:c r="I27" s="62" t="n">
        <x:v>-65</x:v>
      </x:c>
      <x:c r="J27" s="62" t="n">
        <x:v>924.75</x:v>
      </x:c>
      <x:c r="K27" s="62" t="n">
        <x:v>12</x:v>
      </x:c>
      <x:c r="L27" s="62" t="n">
        <x:v>5</x:v>
      </x:c>
      <x:c r="M27" s="62" t="n">
        <x:v>0</x:v>
      </x:c>
      <x:c r="N27" s="62" t="n">
        <x:v>20.488</x:v>
      </x:c>
      <x:c r="O27" s="62" t="n">
        <x:v>94.3496</x:v>
      </x:c>
      <x:c r="P27" s="62" t="n">
        <x:f>IF(OR(N27="",O27=""),"",2*N27*O27/(N27+O27))</x:f>
        <x:v>33.66553471685232</x:v>
      </x:c>
      <x:c r="Q27" t="str">
        <x:v>이동하면서_오열2_1시간 측정_2.png</x:v>
      </x:c>
      <x:c r="R27" t="str">
        <x:v>기존 Excel 대응+이미지 보완</x:v>
      </x:c>
      <x:c r="S27" t="str"/>
    </x:row>
    <x:row r="28" ht="15" hidden="0" customHeight="1">
      <x:c r="A28" t="str">
        <x:v>MOVE_OPEN2_1H_R2</x:v>
      </x:c>
      <x:c r="B28" t="str">
        <x:v>이동</x:v>
      </x:c>
      <x:c r="C28" t="str">
        <x:v>실내 이동 경로</x:v>
      </x:c>
      <x:c r="D28" t="str">
        <x:v>오픈열람실2 AP</x:v>
      </x:c>
      <x:c r="E28" t="str">
        <x:v>이동</x:v>
      </x:c>
      <x:c r="F28" t="n">
        <x:v>60</x:v>
      </x:c>
      <x:c r="G28" t="n">
        <x:v>2</x:v>
      </x:c>
      <x:c r="H28" t="n">
        <x:v>27</x:v>
      </x:c>
      <x:c r="I28" s="62" t="n">
        <x:v>-71</x:v>
      </x:c>
      <x:c r="J28" s="62" t="n">
        <x:v>816.5</x:v>
      </x:c>
      <x:c r="K28" s="62" t="n">
        <x:v>15</x:v>
      </x:c>
      <x:c r="L28" s="62" t="n">
        <x:v>8</x:v>
      </x:c>
      <x:c r="M28" s="62" t="n">
        <x:v>0</x:v>
      </x:c>
      <x:c r="N28" s="62" t="n">
        <x:v>15.2749</x:v>
      </x:c>
      <x:c r="O28" s="62" t="n">
        <x:v>105.1155</x:v>
      </x:c>
      <x:c r="P28" s="62" t="n">
        <x:f>IF(OR(N28="",O28=""),"",2*N28*O28/(N28+O28))</x:f>
        <x:v>26.673700742750253</x:v>
      </x:c>
      <x:c r="Q28" t="str">
        <x:v>이동하면서_오열2_1시간 측정_2.png</x:v>
      </x:c>
      <x:c r="R28" t="str">
        <x:v>기존 Excel 대응+이미지 보완</x:v>
      </x:c>
      <x:c r="S28" t="str"/>
    </x:row>
    <x:row r="29" ht="15" hidden="0" customHeight="1">
      <x:c r="A29" t="str">
        <x:v>MOVE_OPEN2_1H_R2</x:v>
      </x:c>
      <x:c r="B29" t="str">
        <x:v>이동</x:v>
      </x:c>
      <x:c r="C29" t="str">
        <x:v>실내 이동 경로</x:v>
      </x:c>
      <x:c r="D29" t="str">
        <x:v>오픈열람실2 AP</x:v>
      </x:c>
      <x:c r="E29" t="str">
        <x:v>이동</x:v>
      </x:c>
      <x:c r="F29" t="n">
        <x:v>60</x:v>
      </x:c>
      <x:c r="G29" t="n">
        <x:v>2</x:v>
      </x:c>
      <x:c r="H29" t="n">
        <x:v>28</x:v>
      </x:c>
      <x:c r="I29" s="62" t="n">
        <x:v>-70</x:v>
      </x:c>
      <x:c r="J29" s="62" t="n">
        <x:v>888.75</x:v>
      </x:c>
      <x:c r="K29" s="62" t="n">
        <x:v>12</x:v>
      </x:c>
      <x:c r="L29" s="62" t="n">
        <x:v>5</x:v>
      </x:c>
      <x:c r="M29" s="62" t="n">
        <x:v>0</x:v>
      </x:c>
      <x:c r="N29" s="62" t="n">
        <x:v>23.9302</x:v>
      </x:c>
      <x:c r="O29" s="62" t="n">
        <x:v>80.7673</x:v>
      </x:c>
      <x:c r="P29" s="62" t="n">
        <x:f>IF(OR(N29="",O29=""),"",2*N29*O29/(N29+O29))</x:f>
        <x:v>36.921180399914036</x:v>
      </x:c>
      <x:c r="Q29" t="str">
        <x:v>이동하면서_오열2_1시간 측정_2.png</x:v>
      </x:c>
      <x:c r="R29" t="str">
        <x:v>기존 Excel 대응+이미지 보완</x:v>
      </x:c>
      <x:c r="S29" t="str"/>
    </x:row>
    <x:row r="30" ht="15" hidden="0" customHeight="1">
      <x:c r="A30" t="str">
        <x:v>MOVE_OPEN2_1H_R2</x:v>
      </x:c>
      <x:c r="B30" t="str">
        <x:v>이동</x:v>
      </x:c>
      <x:c r="C30" t="str">
        <x:v>실내 이동 경로</x:v>
      </x:c>
      <x:c r="D30" t="str">
        <x:v>오픈열람실2 AP</x:v>
      </x:c>
      <x:c r="E30" t="str">
        <x:v>이동</x:v>
      </x:c>
      <x:c r="F30" t="n">
        <x:v>60</x:v>
      </x:c>
      <x:c r="G30" t="n">
        <x:v>2</x:v>
      </x:c>
      <x:c r="H30" t="n">
        <x:v>29</x:v>
      </x:c>
      <x:c r="I30" s="62" t="n">
        <x:v>-70</x:v>
      </x:c>
      <x:c r="J30" s="62" t="n">
        <x:v>888.75</x:v>
      </x:c>
      <x:c r="K30" s="62" t="n">
        <x:v>12</x:v>
      </x:c>
      <x:c r="L30" s="62" t="n">
        <x:v>7</x:v>
      </x:c>
      <x:c r="M30" s="62" t="n">
        <x:v>0</x:v>
      </x:c>
      <x:c r="N30" s="62" t="n">
        <x:v>0.4183</x:v>
      </x:c>
      <x:c r="O30" s="62" t="n">
        <x:v>21.1284</x:v>
      </x:c>
      <x:c r="P30" s="62" t="n">
        <x:f>IF(OR(N30="",O30=""),"",2*N30*O30/(N30+O30))</x:f>
        <x:v>0.8203585439997774</x:v>
      </x:c>
      <x:c r="Q30" t="str">
        <x:v>이동하면서_오열2_1시간 측정_2.png</x:v>
      </x:c>
      <x:c r="R30" t="str">
        <x:v>기존 Excel 대응+이미지 보완</x:v>
      </x:c>
      <x:c r="S30" t="str"/>
    </x:row>
    <x:row r="31" ht="15" hidden="0" customHeight="1">
      <x:c r="A31" t="str">
        <x:v>MOVE_OPEN2_1H_R2</x:v>
      </x:c>
      <x:c r="B31" t="str">
        <x:v>이동</x:v>
      </x:c>
      <x:c r="C31" t="str">
        <x:v>실내 이동 경로</x:v>
      </x:c>
      <x:c r="D31" t="str">
        <x:v>오픈열람실2 AP</x:v>
      </x:c>
      <x:c r="E31" t="str">
        <x:v>이동</x:v>
      </x:c>
      <x:c r="F31" t="n">
        <x:v>60</x:v>
      </x:c>
      <x:c r="G31" t="n">
        <x:v>2</x:v>
      </x:c>
      <x:c r="H31" t="n">
        <x:v>30</x:v>
      </x:c>
      <x:c r="I31" s="62" t="n">
        <x:v>-68</x:v>
      </x:c>
      <x:c r="J31" s="62" t="n">
        <x:v>924.75</x:v>
      </x:c>
      <x:c r="K31" s="62" t="n">
        <x:v>61</x:v>
      </x:c>
      <x:c r="L31" s="62" t="n">
        <x:v>131</x:v>
      </x:c>
      <x:c r="M31" s="62" t="n">
        <x:v>0</x:v>
      </x:c>
      <x:c r="N31" s="62" t="n">
        <x:v>0.418</x:v>
      </x:c>
      <x:c r="O31" s="62" t="n">
        <x:v>0.6264</x:v>
      </x:c>
      <x:c r="P31" s="62" t="n">
        <x:f>IF(OR(N31="",O31=""),"",2*N31*O31/(N31+O31))</x:f>
        <x:v>0.5014078896974339</x:v>
      </x:c>
      <x:c r="Q31" t="str">
        <x:v>이동하면서_오열2_1시간 측정_2.png</x:v>
      </x:c>
      <x:c r="R31" t="str">
        <x:v>기존 Excel 대응+이미지 보완</x:v>
      </x:c>
      <x:c r="S31" t="str"/>
    </x:row>
    <x:row r="32" ht="15" hidden="0" customHeight="1">
      <x:c r="A32" t="str">
        <x:v>MOVE_OPEN2_1H_R2</x:v>
      </x:c>
      <x:c r="B32" t="str">
        <x:v>이동</x:v>
      </x:c>
      <x:c r="C32" t="str">
        <x:v>실내 이동 경로</x:v>
      </x:c>
      <x:c r="D32" t="str">
        <x:v>오픈열람실2 AP</x:v>
      </x:c>
      <x:c r="E32" t="str">
        <x:v>이동</x:v>
      </x:c>
      <x:c r="F32" t="n">
        <x:v>60</x:v>
      </x:c>
      <x:c r="G32" t="n">
        <x:v>2</x:v>
      </x:c>
      <x:c r="H32" t="n">
        <x:v>31</x:v>
      </x:c>
      <x:c r="I32" s="62" t="n">
        <x:v>-75</x:v>
      </x:c>
      <x:c r="J32" s="62" t="n">
        <x:v>888.75</x:v>
      </x:c>
      <x:c r="K32" s="62" t="n">
        <x:v>10</x:v>
      </x:c>
      <x:c r="L32" s="62" t="n">
        <x:v>12</x:v>
      </x:c>
      <x:c r="M32" s="62" t="n">
        <x:v>0</x:v>
      </x:c>
      <x:c r="N32" s="62"/>
      <x:c r="O32" s="62" t="n">
        <x:v>62.3734</x:v>
      </x:c>
      <x:c r="P32" s="62" t="str">
        <x:f>IF(OR(N32="",O32=""),"",2*N32*O32/(N32+O32))</x:f>
      </x:c>
      <x:c r="Q32" t="str">
        <x:v>이동하면서_오열2_1시간 측정_2.png</x:v>
      </x:c>
      <x:c r="R32" t="str">
        <x:v>기존 Excel 대응+이미지 보완</x:v>
      </x:c>
      <x:c r="S32" t="str">
        <x:v>원본 이미지에서 NaN 확인</x:v>
      </x:c>
    </x:row>
  </x:sheetData>
  <x:pageMargins left="0.7" right="0.7" top="0.75" bottom="0.75" header="0.3" footer="0.3"/>
  <x:tableParts count="1">
    <x:tablePart xmlns:r="http://schemas.openxmlformats.org/officeDocument/2006/relationships" r:id="R24c7300b880f4d6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20" hidden="0" customWidth="1"/>
    <x:col min="5" max="5" width="12" hidden="0" customWidth="1"/>
    <x:col min="6" max="6" width="12" hidden="0" customWidth="1"/>
    <x:col min="7" max="7" width="9" hidden="0" customWidth="1"/>
    <x:col min="8" max="8" width="14" hidden="0" customWidth="1"/>
    <x:col min="9" max="9" width="12" hidden="0" customWidth="1"/>
    <x:col min="10" max="10" width="12" hidden="0" customWidth="1"/>
    <x:col min="11" max="11" width="13" hidden="0" customWidth="1"/>
    <x:col min="12" max="12" width="12" hidden="0" customWidth="1"/>
    <x:col min="13" max="13" width="18" hidden="0" customWidth="1"/>
    <x:col min="14" max="14" width="14" hidden="0" customWidth="1"/>
    <x:col min="15" max="15" width="16" hidden="0" customWidth="1"/>
    <x:col min="16" max="16" width="17" hidden="0" customWidth="1"/>
    <x:col min="17" max="17" width="42" hidden="0" customWidth="1"/>
    <x:col min="18" max="18" width="22" hidden="0" customWidth="1"/>
    <x:col min="19" max="19" width="34" hidden="0" customWidth="1"/>
  </x:cols>
  <x:sheetData>
    <x:row r="1" ht="15" hidden="0" customHeight="1">
      <x:c r="A1" s="6" t="str">
        <x:v>측정세트_ID</x:v>
      </x:c>
      <x:c r="B1" s="6" t="str">
        <x:v>상태</x:v>
      </x:c>
      <x:c r="C1" s="6" t="str">
        <x:v>측정 위치</x:v>
      </x:c>
      <x:c r="D1" s="6" t="str">
        <x:v>대상 AP 구역</x:v>
      </x:c>
      <x:c r="E1" s="6" t="str">
        <x:v>측정 형태</x:v>
      </x:c>
      <x:c r="F1" s="6" t="str">
        <x:v>측정시간_min</x:v>
      </x:c>
      <x:c r="G1" s="6" t="str">
        <x:v>반복</x:v>
      </x:c>
      <x:c r="H1" s="6" t="str">
        <x:v>세트내_측정번호</x:v>
      </x:c>
      <x:c r="I1" s="6" t="str">
        <x:v>RSSI_dBm</x:v>
      </x:c>
      <x:c r="J1" s="6" t="str">
        <x:v>Link_Mbps</x:v>
      </x:c>
      <x:c r="K1" s="6" t="str">
        <x:v>UTIL_percent</x:v>
      </x:c>
      <x:c r="L1" s="6" t="str">
        <x:v>RTT_ms</x:v>
      </x:c>
      <x:c r="M1" s="6" t="str">
        <x:v>PacketLoss_percent</x:v>
      </x:c>
      <x:c r="N1" s="6" t="str">
        <x:v>Upload_Mbps</x:v>
      </x:c>
      <x:c r="O1" s="6" t="str">
        <x:v>Download_Mbps</x:v>
      </x:c>
      <x:c r="P1" s="6" t="str">
        <x:v>Effective_Mbps</x:v>
      </x:c>
      <x:c r="Q1" s="6" t="str">
        <x:v>원본 이미지</x:v>
      </x:c>
      <x:c r="R1" s="6" t="str">
        <x:v>데이터 출처</x:v>
      </x:c>
      <x:c r="S1" s="6" t="str">
        <x:v>검토 메모</x:v>
      </x:c>
    </x:row>
    <x:row r="2" ht="15" hidden="0" customHeight="1">
      <x:c r="A2" t="str">
        <x:v>CONGESTED_OPEN2_R1</x:v>
      </x:c>
      <x:c r="B2" t="str">
        <x:v>혼잡 유도</x:v>
      </x:c>
      <x:c r="C2" t="str">
        <x:v>오픈열람실</x:v>
      </x:c>
      <x:c r="D2" t="str">
        <x:v>오픈열람실2 AP</x:v>
      </x:c>
      <x:c r="E2" t="str">
        <x:v>고정</x:v>
      </x:c>
      <x:c r="F2"/>
      <x:c r="G2" t="n">
        <x:v>1</x:v>
      </x:c>
      <x:c r="H2" t="n">
        <x:v>1</x:v>
      </x:c>
      <x:c r="I2" s="62" t="n">
        <x:v>-51</x:v>
      </x:c>
      <x:c r="J2" s="62" t="n">
        <x:v>1201</x:v>
      </x:c>
      <x:c r="K2" s="62" t="n">
        <x:v>50</x:v>
      </x:c>
      <x:c r="L2" s="62" t="n">
        <x:v>7</x:v>
      </x:c>
      <x:c r="M2" s="62" t="n">
        <x:v>0</x:v>
      </x:c>
      <x:c r="N2" s="62" t="n">
        <x:v>33.2445</x:v>
      </x:c>
      <x:c r="O2" s="62" t="n">
        <x:v>64.7117</x:v>
      </x:c>
      <x:c r="P2" s="62" t="n">
        <x:f>IF(OR(N2="",O2=""),"",2*N2*O2/(N2+O2))</x:f>
        <x:v>43.92387844056834</x:v>
      </x:c>
      <x:c r="Q2" t="str">
        <x:v>오픈열람실에서_오픈열람실2_터트리기_1.jpg; 오픈열람실에서_오픈열람실2_터트리기_2.jpg</x:v>
      </x:c>
      <x:c r="R2" t="str">
        <x:v>기존 Excel 대응</x:v>
      </x:c>
      <x:c r="S2" t="str"/>
    </x:row>
    <x:row r="3" ht="15" hidden="0" customHeight="1">
      <x:c r="A3" t="str">
        <x:v>CONGESTED_OPEN2_R1</x:v>
      </x:c>
      <x:c r="B3" t="str">
        <x:v>혼잡 유도</x:v>
      </x:c>
      <x:c r="C3" t="str">
        <x:v>오픈열람실</x:v>
      </x:c>
      <x:c r="D3" t="str">
        <x:v>오픈열람실2 AP</x:v>
      </x:c>
      <x:c r="E3" t="str">
        <x:v>고정</x:v>
      </x:c>
      <x:c r="F3"/>
      <x:c r="G3" t="n">
        <x:v>1</x:v>
      </x:c>
      <x:c r="H3" t="n">
        <x:v>2</x:v>
      </x:c>
      <x:c r="I3" s="62" t="n">
        <x:v>-53</x:v>
      </x:c>
      <x:c r="J3" s="62" t="n">
        <x:v>1201</x:v>
      </x:c>
      <x:c r="K3" s="62" t="n">
        <x:v>47</x:v>
      </x:c>
      <x:c r="L3" s="62" t="n">
        <x:v>9</x:v>
      </x:c>
      <x:c r="M3" s="62" t="n">
        <x:v>0</x:v>
      </x:c>
      <x:c r="N3" s="62" t="n">
        <x:v>103.9524</x:v>
      </x:c>
      <x:c r="O3" s="62" t="n">
        <x:v>70.7138</x:v>
      </x:c>
      <x:c r="P3" s="62" t="n">
        <x:f>IF(OR(N3="",O3=""),"",2*N3*O3/(N3+O3))</x:f>
        <x:v>84.17048316297029</x:v>
      </x:c>
      <x:c r="Q3" t="str">
        <x:v>오픈열람실에서_오픈열람실2_터트리기_1.jpg; 오픈열람실에서_오픈열람실2_터트리기_2.jpg</x:v>
      </x:c>
      <x:c r="R3" t="str">
        <x:v>기존 Excel 대응</x:v>
      </x:c>
      <x:c r="S3" t="str"/>
    </x:row>
    <x:row r="4" ht="15" hidden="0" customHeight="1">
      <x:c r="A4" t="str">
        <x:v>CONGESTED_OPEN2_R1</x:v>
      </x:c>
      <x:c r="B4" t="str">
        <x:v>혼잡 유도</x:v>
      </x:c>
      <x:c r="C4" t="str">
        <x:v>오픈열람실</x:v>
      </x:c>
      <x:c r="D4" t="str">
        <x:v>오픈열람실2 AP</x:v>
      </x:c>
      <x:c r="E4" t="str">
        <x:v>고정</x:v>
      </x:c>
      <x:c r="F4"/>
      <x:c r="G4" t="n">
        <x:v>1</x:v>
      </x:c>
      <x:c r="H4" t="n">
        <x:v>3</x:v>
      </x:c>
      <x:c r="I4" s="62" t="n">
        <x:v>-52</x:v>
      </x:c>
      <x:c r="J4" s="62" t="n">
        <x:v>1201</x:v>
      </x:c>
      <x:c r="K4" s="62" t="n">
        <x:v>32</x:v>
      </x:c>
      <x:c r="L4" s="62" t="n">
        <x:v>7</x:v>
      </x:c>
      <x:c r="M4" s="62" t="n">
        <x:v>0</x:v>
      </x:c>
      <x:c r="N4" s="62" t="n">
        <x:v>79.3099</x:v>
      </x:c>
      <x:c r="O4" s="62" t="n">
        <x:v>60.8244</x:v>
      </x:c>
      <x:c r="P4" s="62" t="n">
        <x:f>IF(OR(N4="",O4=""),"",2*N4*O4/(N4+O4))</x:f>
        <x:v>68.84791348813245</x:v>
      </x:c>
      <x:c r="Q4" t="str">
        <x:v>오픈열람실에서_오픈열람실2_터트리기_1.jpg; 오픈열람실에서_오픈열람실2_터트리기_2.jpg</x:v>
      </x:c>
      <x:c r="R4" t="str">
        <x:v>기존 Excel 대응</x:v>
      </x:c>
      <x:c r="S4" t="str"/>
    </x:row>
    <x:row r="5" ht="15" hidden="0" customHeight="1">
      <x:c r="A5" t="str">
        <x:v>CONGESTED_OPEN2_R1</x:v>
      </x:c>
      <x:c r="B5" t="str">
        <x:v>혼잡 유도</x:v>
      </x:c>
      <x:c r="C5" t="str">
        <x:v>오픈열람실</x:v>
      </x:c>
      <x:c r="D5" t="str">
        <x:v>오픈열람실2 AP</x:v>
      </x:c>
      <x:c r="E5" t="str">
        <x:v>고정</x:v>
      </x:c>
      <x:c r="F5"/>
      <x:c r="G5" t="n">
        <x:v>1</x:v>
      </x:c>
      <x:c r="H5" t="n">
        <x:v>4</x:v>
      </x:c>
      <x:c r="I5" s="62" t="n">
        <x:v>-47</x:v>
      </x:c>
      <x:c r="J5" s="62" t="n">
        <x:v>1201</x:v>
      </x:c>
      <x:c r="K5" s="62" t="n">
        <x:v>58</x:v>
      </x:c>
      <x:c r="L5" s="62" t="n">
        <x:v>13</x:v>
      </x:c>
      <x:c r="M5" s="62" t="n">
        <x:v>0</x:v>
      </x:c>
      <x:c r="N5" s="62" t="n">
        <x:v>95.6088</x:v>
      </x:c>
      <x:c r="O5" s="62" t="n">
        <x:v>29.7174</x:v>
      </x:c>
      <x:c r="P5" s="62" t="n">
        <x:f>IF(OR(N5="",O5=""),"",2*N5*O5/(N5+O5))</x:f>
        <x:v>45.34159582146431</x:v>
      </x:c>
      <x:c r="Q5" t="str">
        <x:v>오픈열람실에서_오픈열람실2_터트리기_1.jpg; 오픈열람실에서_오픈열람실2_터트리기_2.jpg</x:v>
      </x:c>
      <x:c r="R5" t="str">
        <x:v>기존 Excel 대응</x:v>
      </x:c>
      <x:c r="S5" t="str"/>
    </x:row>
    <x:row r="6" ht="15" hidden="0" customHeight="1">
      <x:c r="A6" t="str">
        <x:v>CONGESTED_OPEN2_R1</x:v>
      </x:c>
      <x:c r="B6" t="str">
        <x:v>혼잡 유도</x:v>
      </x:c>
      <x:c r="C6" t="str">
        <x:v>오픈열람실</x:v>
      </x:c>
      <x:c r="D6" t="str">
        <x:v>오픈열람실2 AP</x:v>
      </x:c>
      <x:c r="E6" t="str">
        <x:v>고정</x:v>
      </x:c>
      <x:c r="F6"/>
      <x:c r="G6" t="n">
        <x:v>1</x:v>
      </x:c>
      <x:c r="H6" t="n">
        <x:v>5</x:v>
      </x:c>
      <x:c r="I6" s="62" t="n">
        <x:v>-51</x:v>
      </x:c>
      <x:c r="J6" s="62" t="n">
        <x:v>1201</x:v>
      </x:c>
      <x:c r="K6" s="62" t="n">
        <x:v>72</x:v>
      </x:c>
      <x:c r="L6" s="62" t="n">
        <x:v>10</x:v>
      </x:c>
      <x:c r="M6" s="62" t="n">
        <x:v>0</x:v>
      </x:c>
      <x:c r="N6" s="62" t="n">
        <x:v>69.254</x:v>
      </x:c>
      <x:c r="O6" s="62" t="n">
        <x:v>68.2485</x:v>
      </x:c>
      <x:c r="P6" s="62" t="n">
        <x:f>IF(OR(N6="",O6=""),"",2*N6*O6/(N6+O6))</x:f>
        <x:v>68.7475735932074</x:v>
      </x:c>
      <x:c r="Q6" t="str">
        <x:v>오픈열람실에서_오픈열람실2_터트리기_1.jpg; 오픈열람실에서_오픈열람실2_터트리기_2.jpg</x:v>
      </x:c>
      <x:c r="R6" t="str">
        <x:v>기존 Excel 대응</x:v>
      </x:c>
      <x:c r="S6" t="str"/>
    </x:row>
    <x:row r="7" ht="15" hidden="0" customHeight="1">
      <x:c r="A7" t="str">
        <x:v>CONGESTED_OPEN2_R1</x:v>
      </x:c>
      <x:c r="B7" t="str">
        <x:v>혼잡 유도</x:v>
      </x:c>
      <x:c r="C7" t="str">
        <x:v>오픈열람실</x:v>
      </x:c>
      <x:c r="D7" t="str">
        <x:v>오픈열람실2 AP</x:v>
      </x:c>
      <x:c r="E7" t="str">
        <x:v>고정</x:v>
      </x:c>
      <x:c r="F7"/>
      <x:c r="G7" t="n">
        <x:v>1</x:v>
      </x:c>
      <x:c r="H7" t="n">
        <x:v>6</x:v>
      </x:c>
      <x:c r="I7" s="62" t="n">
        <x:v>-50</x:v>
      </x:c>
      <x:c r="J7" s="62" t="n">
        <x:v>1201</x:v>
      </x:c>
      <x:c r="K7" s="62" t="n">
        <x:v>58</x:v>
      </x:c>
      <x:c r="L7" s="62" t="n">
        <x:v>11</x:v>
      </x:c>
      <x:c r="M7" s="62" t="n">
        <x:v>0</x:v>
      </x:c>
      <x:c r="N7" s="62" t="n">
        <x:v>68.8051</x:v>
      </x:c>
      <x:c r="O7" s="62" t="n">
        <x:v>61.0996</x:v>
      </x:c>
      <x:c r="P7" s="62" t="n">
        <x:f>IF(OR(N7="",O7=""),"",2*N7*O7/(N7+O7))</x:f>
        <x:v>64.72381812143826</x:v>
      </x:c>
      <x:c r="Q7" t="str">
        <x:v>오픈열람실에서_오픈열람실2_터트리기_1.jpg; 오픈열람실에서_오픈열람실2_터트리기_2.jpg</x:v>
      </x:c>
      <x:c r="R7" t="str">
        <x:v>기존 Excel 대응</x:v>
      </x:c>
      <x:c r="S7" t="str"/>
    </x:row>
    <x:row r="8" ht="15" hidden="0" customHeight="1">
      <x:c r="A8" t="str">
        <x:v>CONGESTED_OPEN2_R1</x:v>
      </x:c>
      <x:c r="B8" t="str">
        <x:v>혼잡 유도</x:v>
      </x:c>
      <x:c r="C8" t="str">
        <x:v>오픈열람실</x:v>
      </x:c>
      <x:c r="D8" t="str">
        <x:v>오픈열람실2 AP</x:v>
      </x:c>
      <x:c r="E8" t="str">
        <x:v>고정</x:v>
      </x:c>
      <x:c r="F8"/>
      <x:c r="G8" t="n">
        <x:v>1</x:v>
      </x:c>
      <x:c r="H8" t="n">
        <x:v>7</x:v>
      </x:c>
      <x:c r="I8" s="62" t="n">
        <x:v>-52</x:v>
      </x:c>
      <x:c r="J8" s="62" t="n">
        <x:v>1201</x:v>
      </x:c>
      <x:c r="K8" s="62" t="n">
        <x:v>61</x:v>
      </x:c>
      <x:c r="L8" s="62" t="n">
        <x:v>13</x:v>
      </x:c>
      <x:c r="M8" s="62" t="n">
        <x:v>0</x:v>
      </x:c>
      <x:c r="N8" s="62" t="n">
        <x:v>27.6317</x:v>
      </x:c>
      <x:c r="O8" s="62" t="n">
        <x:v>42.8955</x:v>
      </x:c>
      <x:c r="P8" s="62" t="n">
        <x:f>IF(OR(N8="",O8=""),"",2*N8*O8/(N8+O8))</x:f>
        <x:v>33.611871373030546</x:v>
      </x:c>
      <x:c r="Q8" t="str">
        <x:v>오픈열람실에서_오픈열람실2_터트리기_1.jpg; 오픈열람실에서_오픈열람실2_터트리기_2.jpg</x:v>
      </x:c>
      <x:c r="R8" t="str">
        <x:v>기존 Excel 대응</x:v>
      </x:c>
      <x:c r="S8" t="str"/>
    </x:row>
    <x:row r="9" ht="15" hidden="0" customHeight="1">
      <x:c r="A9" t="str">
        <x:v>CONGESTED_OPEN2_R1</x:v>
      </x:c>
      <x:c r="B9" t="str">
        <x:v>혼잡 유도</x:v>
      </x:c>
      <x:c r="C9" t="str">
        <x:v>오픈열람실</x:v>
      </x:c>
      <x:c r="D9" t="str">
        <x:v>오픈열람실2 AP</x:v>
      </x:c>
      <x:c r="E9" t="str">
        <x:v>고정</x:v>
      </x:c>
      <x:c r="F9"/>
      <x:c r="G9" t="n">
        <x:v>1</x:v>
      </x:c>
      <x:c r="H9" t="n">
        <x:v>8</x:v>
      </x:c>
      <x:c r="I9" s="62" t="n">
        <x:v>-51</x:v>
      </x:c>
      <x:c r="J9" s="62" t="n">
        <x:v>1201</x:v>
      </x:c>
      <x:c r="K9" s="62" t="n">
        <x:v>88</x:v>
      </x:c>
      <x:c r="L9" s="62" t="n">
        <x:v>13</x:v>
      </x:c>
      <x:c r="M9" s="62" t="n">
        <x:v>0</x:v>
      </x:c>
      <x:c r="N9" s="62" t="n">
        <x:v>55.9859</x:v>
      </x:c>
      <x:c r="O9" s="62" t="n">
        <x:v>68.4746</x:v>
      </x:c>
      <x:c r="P9" s="62" t="n">
        <x:f>IF(OR(N9="",O9=""),"",2*N9*O9/(N9+O9))</x:f>
        <x:v>61.60367519237027</x:v>
      </x:c>
      <x:c r="Q9" t="str">
        <x:v>오픈열람실에서_오픈열람실2_터트리기_1.jpg; 오픈열람실에서_오픈열람실2_터트리기_2.jpg</x:v>
      </x:c>
      <x:c r="R9" t="str">
        <x:v>기존 Excel 대응</x:v>
      </x:c>
      <x:c r="S9" t="str"/>
    </x:row>
    <x:row r="10" ht="15" hidden="0" customHeight="1">
      <x:c r="A10" t="str">
        <x:v>CONGESTED_OPEN2_R1</x:v>
      </x:c>
      <x:c r="B10" t="str">
        <x:v>혼잡 유도</x:v>
      </x:c>
      <x:c r="C10" t="str">
        <x:v>오픈열람실</x:v>
      </x:c>
      <x:c r="D10" t="str">
        <x:v>오픈열람실2 AP</x:v>
      </x:c>
      <x:c r="E10" t="str">
        <x:v>고정</x:v>
      </x:c>
      <x:c r="F10"/>
      <x:c r="G10" t="n">
        <x:v>1</x:v>
      </x:c>
      <x:c r="H10" t="n">
        <x:v>9</x:v>
      </x:c>
      <x:c r="I10" s="62" t="n">
        <x:v>-53</x:v>
      </x:c>
      <x:c r="J10" s="62" t="n">
        <x:v>1201</x:v>
      </x:c>
      <x:c r="K10" s="62" t="n">
        <x:v>41</x:v>
      </x:c>
      <x:c r="L10" s="62" t="n">
        <x:v>12</x:v>
      </x:c>
      <x:c r="M10" s="62" t="n">
        <x:v>0</x:v>
      </x:c>
      <x:c r="N10" s="62" t="n">
        <x:v>56.3745</x:v>
      </x:c>
      <x:c r="O10" s="62" t="n">
        <x:v>26.7409</x:v>
      </x:c>
      <x:c r="P10" s="62" t="n">
        <x:f>IF(OR(N10="",O10=""),"",2*N10*O10/(N10+O10))</x:f>
        <x:v>36.274983145121126</x:v>
      </x:c>
      <x:c r="Q10" t="str">
        <x:v>오픈열람실에서_오픈열람실2_터트리기_1.jpg; 오픈열람실에서_오픈열람실2_터트리기_2.jpg</x:v>
      </x:c>
      <x:c r="R10" t="str">
        <x:v>기존 Excel 대응</x:v>
      </x:c>
      <x:c r="S10" t="str"/>
    </x:row>
    <x:row r="11" ht="15" hidden="0" customHeight="1">
      <x:c r="A11" t="str">
        <x:v>CONGESTED_OPEN2_R1</x:v>
      </x:c>
      <x:c r="B11" t="str">
        <x:v>혼잡 유도</x:v>
      </x:c>
      <x:c r="C11" t="str">
        <x:v>오픈열람실</x:v>
      </x:c>
      <x:c r="D11" t="str">
        <x:v>오픈열람실2 AP</x:v>
      </x:c>
      <x:c r="E11" t="str">
        <x:v>고정</x:v>
      </x:c>
      <x:c r="F11"/>
      <x:c r="G11" t="n">
        <x:v>1</x:v>
      </x:c>
      <x:c r="H11" t="n">
        <x:v>10</x:v>
      </x:c>
      <x:c r="I11" s="62" t="n">
        <x:v>-51</x:v>
      </x:c>
      <x:c r="J11" s="62" t="n">
        <x:v>1201</x:v>
      </x:c>
      <x:c r="K11" s="62" t="n">
        <x:v>63</x:v>
      </x:c>
      <x:c r="L11" s="62" t="n">
        <x:v>26</x:v>
      </x:c>
      <x:c r="M11" s="62" t="n">
        <x:v>0</x:v>
      </x:c>
      <x:c r="N11" s="62" t="n">
        <x:v>38.0172</x:v>
      </x:c>
      <x:c r="O11" s="62" t="n">
        <x:v>54.2057</x:v>
      </x:c>
      <x:c r="P11" s="62" t="n">
        <x:f>IF(OR(N11="",O11=""),"",2*N11*O11/(N11+O11))</x:f>
        <x:v>44.690612375884946</x:v>
      </x:c>
      <x:c r="Q11" t="str">
        <x:v>오픈열람실에서_오픈열람실2_터트리기_1.jpg; 오픈열람실에서_오픈열람실2_터트리기_2.jpg</x:v>
      </x:c>
      <x:c r="R11" t="str">
        <x:v>기존 Excel 대응</x:v>
      </x:c>
      <x:c r="S11" t="str"/>
    </x:row>
    <x:row r="12" ht="15" hidden="0" customHeight="1">
      <x:c r="A12" t="str">
        <x:v>CONGESTED_OPEN2_R1</x:v>
      </x:c>
      <x:c r="B12" t="str">
        <x:v>혼잡 유도</x:v>
      </x:c>
      <x:c r="C12" t="str">
        <x:v>오픈열람실</x:v>
      </x:c>
      <x:c r="D12" t="str">
        <x:v>오픈열람실2 AP</x:v>
      </x:c>
      <x:c r="E12" t="str">
        <x:v>고정</x:v>
      </x:c>
      <x:c r="F12"/>
      <x:c r="G12" t="n">
        <x:v>1</x:v>
      </x:c>
      <x:c r="H12" t="n">
        <x:v>11</x:v>
      </x:c>
      <x:c r="I12" s="62" t="n">
        <x:v>-49</x:v>
      </x:c>
      <x:c r="J12" s="62" t="n">
        <x:v>1201</x:v>
      </x:c>
      <x:c r="K12" s="62" t="n">
        <x:v>41</x:v>
      </x:c>
      <x:c r="L12" s="62" t="n">
        <x:v>26</x:v>
      </x:c>
      <x:c r="M12" s="62" t="n">
        <x:v>0</x:v>
      </x:c>
      <x:c r="N12" s="62" t="n">
        <x:v>50.8157</x:v>
      </x:c>
      <x:c r="O12" s="62" t="n">
        <x:v>25.9518</x:v>
      </x:c>
      <x:c r="P12" s="62" t="n">
        <x:f>IF(OR(N12="",O12=""),"",2*N12*O12/(N12+O12))</x:f>
        <x:v>34.357218439052986</x:v>
      </x:c>
      <x:c r="Q12" t="str">
        <x:v>오픈열람실에서_오픈열람실2_터트리기_1.jpg; 오픈열람실에서_오픈열람실2_터트리기_2.jpg</x:v>
      </x:c>
      <x:c r="R12" t="str">
        <x:v>기존 Excel 대응</x:v>
      </x:c>
      <x:c r="S12" t="str"/>
    </x:row>
    <x:row r="13" ht="15" hidden="0" customHeight="1">
      <x:c r="A13" t="str">
        <x:v>CONGESTED_OPEN2_R1</x:v>
      </x:c>
      <x:c r="B13" t="str">
        <x:v>혼잡 유도</x:v>
      </x:c>
      <x:c r="C13" t="str">
        <x:v>오픈열람실</x:v>
      </x:c>
      <x:c r="D13" t="str">
        <x:v>오픈열람실2 AP</x:v>
      </x:c>
      <x:c r="E13" t="str">
        <x:v>고정</x:v>
      </x:c>
      <x:c r="F13"/>
      <x:c r="G13" t="n">
        <x:v>1</x:v>
      </x:c>
      <x:c r="H13" t="n">
        <x:v>12</x:v>
      </x:c>
      <x:c r="I13" s="62" t="n">
        <x:v>-50</x:v>
      </x:c>
      <x:c r="J13" s="62" t="n">
        <x:v>1201</x:v>
      </x:c>
      <x:c r="K13" s="62" t="n">
        <x:v>60</x:v>
      </x:c>
      <x:c r="L13" s="62" t="n">
        <x:v>7</x:v>
      </x:c>
      <x:c r="M13" s="62" t="n">
        <x:v>0</x:v>
      </x:c>
      <x:c r="N13" s="62" t="n">
        <x:v>47.5341</x:v>
      </x:c>
      <x:c r="O13" s="62" t="n">
        <x:v>58.6451</x:v>
      </x:c>
      <x:c r="P13" s="62" t="n">
        <x:f>IF(OR(N13="",O13=""),"",2*N13*O13/(N13+O13))</x:f>
        <x:v>52.50825110586631</x:v>
      </x:c>
      <x:c r="Q13" t="str">
        <x:v>오픈열람실에서_오픈열람실2_터트리기_1.jpg; 오픈열람실에서_오픈열람실2_터트리기_2.jpg</x:v>
      </x:c>
      <x:c r="R13" t="str">
        <x:v>기존 Excel 대응</x:v>
      </x:c>
      <x:c r="S13" t="str"/>
    </x:row>
    <x:row r="14" ht="15" hidden="0" customHeight="1">
      <x:c r="A14" t="str">
        <x:v>CONGESTED_OPEN2_R1</x:v>
      </x:c>
      <x:c r="B14" t="str">
        <x:v>혼잡 유도</x:v>
      </x:c>
      <x:c r="C14" t="str">
        <x:v>오픈열람실</x:v>
      </x:c>
      <x:c r="D14" t="str">
        <x:v>오픈열람실2 AP</x:v>
      </x:c>
      <x:c r="E14" t="str">
        <x:v>고정</x:v>
      </x:c>
      <x:c r="F14"/>
      <x:c r="G14" t="n">
        <x:v>1</x:v>
      </x:c>
      <x:c r="H14" t="n">
        <x:v>13</x:v>
      </x:c>
      <x:c r="I14" s="62" t="n">
        <x:v>-50</x:v>
      </x:c>
      <x:c r="J14" s="62" t="n">
        <x:v>1201</x:v>
      </x:c>
      <x:c r="K14" s="62" t="n">
        <x:v>39</x:v>
      </x:c>
      <x:c r="L14" s="62" t="n">
        <x:v>8</x:v>
      </x:c>
      <x:c r="M14" s="62" t="n">
        <x:v>0</x:v>
      </x:c>
      <x:c r="N14" s="62" t="n">
        <x:v>13.4185</x:v>
      </x:c>
      <x:c r="O14" s="62" t="n">
        <x:v>57.8818</x:v>
      </x:c>
      <x:c r="P14" s="62" t="n">
        <x:f>IF(OR(N14="",O14=""),"",2*N14*O14/(N14+O14))</x:f>
        <x:v>21.786358074229703</x:v>
      </x:c>
      <x:c r="Q14" t="str">
        <x:v>오픈열람실에서_오픈열람실2_터트리기_1.jpg; 오픈열람실에서_오픈열람실2_터트리기_2.jpg</x:v>
      </x:c>
      <x:c r="R14" t="str">
        <x:v>기존 Excel 대응</x:v>
      </x:c>
      <x:c r="S14" t="str"/>
    </x:row>
    <x:row r="15" ht="15" hidden="0" customHeight="1">
      <x:c r="A15" t="str">
        <x:v>CONGESTED_OPEN2_R1</x:v>
      </x:c>
      <x:c r="B15" t="str">
        <x:v>혼잡 유도</x:v>
      </x:c>
      <x:c r="C15" t="str">
        <x:v>오픈열람실</x:v>
      </x:c>
      <x:c r="D15" t="str">
        <x:v>오픈열람실2 AP</x:v>
      </x:c>
      <x:c r="E15" t="str">
        <x:v>고정</x:v>
      </x:c>
      <x:c r="F15"/>
      <x:c r="G15" t="n">
        <x:v>1</x:v>
      </x:c>
      <x:c r="H15" t="n">
        <x:v>14</x:v>
      </x:c>
      <x:c r="I15" s="62" t="n">
        <x:v>-50</x:v>
      </x:c>
      <x:c r="J15" s="62" t="n">
        <x:v>1201</x:v>
      </x:c>
      <x:c r="K15" s="62" t="n">
        <x:v>35</x:v>
      </x:c>
      <x:c r="L15" s="62" t="n">
        <x:v>10</x:v>
      </x:c>
      <x:c r="M15" s="62" t="n">
        <x:v>0</x:v>
      </x:c>
      <x:c r="N15" s="62" t="n">
        <x:v>63.8608</x:v>
      </x:c>
      <x:c r="O15" s="62" t="n">
        <x:v>95.0764</x:v>
      </x:c>
      <x:c r="P15" s="62" t="n">
        <x:f>IF(OR(N15="",O15=""),"",2*N15*O15/(N15+O15))</x:f>
        <x:v>76.40319528870522</x:v>
      </x:c>
      <x:c r="Q15" t="str">
        <x:v>오픈열람실에서_오픈열람실2_터트리기_1.jpg; 오픈열람실에서_오픈열람실2_터트리기_2.jpg</x:v>
      </x:c>
      <x:c r="R15" t="str">
        <x:v>기존 Excel 대응</x:v>
      </x:c>
      <x:c r="S15" t="str"/>
    </x:row>
    <x:row r="16" ht="15" hidden="0" customHeight="1">
      <x:c r="A16" t="str">
        <x:v>CONGESTED_OPEN2_R1</x:v>
      </x:c>
      <x:c r="B16" t="str">
        <x:v>혼잡 유도</x:v>
      </x:c>
      <x:c r="C16" t="str">
        <x:v>오픈열람실</x:v>
      </x:c>
      <x:c r="D16" t="str">
        <x:v>오픈열람실2 AP</x:v>
      </x:c>
      <x:c r="E16" t="str">
        <x:v>고정</x:v>
      </x:c>
      <x:c r="F16"/>
      <x:c r="G16" t="n">
        <x:v>1</x:v>
      </x:c>
      <x:c r="H16" t="n">
        <x:v>15</x:v>
      </x:c>
      <x:c r="I16" s="62" t="n">
        <x:v>-50</x:v>
      </x:c>
      <x:c r="J16" s="62" t="n">
        <x:v>1201</x:v>
      </x:c>
      <x:c r="K16" s="62" t="n">
        <x:v>41</x:v>
      </x:c>
      <x:c r="L16" s="62" t="n">
        <x:v>7</x:v>
      </x:c>
      <x:c r="M16" s="62" t="n">
        <x:v>0</x:v>
      </x:c>
      <x:c r="N16" s="62" t="n">
        <x:v>33.4875</x:v>
      </x:c>
      <x:c r="O16" s="62" t="n">
        <x:v>76.1137</x:v>
      </x:c>
      <x:c r="P16" s="62" t="n">
        <x:f>IF(OR(N16="",O16=""),"",2*N16*O16/(N16+O16))</x:f>
        <x:v>46.51148944993303</x:v>
      </x:c>
      <x:c r="Q16" t="str">
        <x:v>오픈열람실에서_오픈열람실2_터트리기_1.jpg; 오픈열람실에서_오픈열람실2_터트리기_2.jpg</x:v>
      </x:c>
      <x:c r="R16" t="str">
        <x:v>기존 Excel 대응</x:v>
      </x:c>
      <x:c r="S16" t="str"/>
    </x:row>
    <x:row r="17" ht="15" hidden="0" customHeight="1">
      <x:c r="A17" t="str">
        <x:v>CONGESTED_OPEN2_R1</x:v>
      </x:c>
      <x:c r="B17" t="str">
        <x:v>혼잡 유도</x:v>
      </x:c>
      <x:c r="C17" t="str">
        <x:v>오픈열람실</x:v>
      </x:c>
      <x:c r="D17" t="str">
        <x:v>오픈열람실2 AP</x:v>
      </x:c>
      <x:c r="E17" t="str">
        <x:v>고정</x:v>
      </x:c>
      <x:c r="F17"/>
      <x:c r="G17" t="n">
        <x:v>1</x:v>
      </x:c>
      <x:c r="H17" t="n">
        <x:v>16</x:v>
      </x:c>
      <x:c r="I17" s="62" t="n">
        <x:v>-50</x:v>
      </x:c>
      <x:c r="J17" s="62" t="n">
        <x:v>1201</x:v>
      </x:c>
      <x:c r="K17" s="62" t="n">
        <x:v>35</x:v>
      </x:c>
      <x:c r="L17" s="62" t="n">
        <x:v>6</x:v>
      </x:c>
      <x:c r="M17" s="62" t="n">
        <x:v>0</x:v>
      </x:c>
      <x:c r="N17" s="62" t="n">
        <x:v>92.4217</x:v>
      </x:c>
      <x:c r="O17" s="62" t="n">
        <x:v>77.2396</x:v>
      </x:c>
      <x:c r="P17" s="62" t="n">
        <x:f>IF(OR(N17="",O17=""),"",2*N17*O17/(N17+O17))</x:f>
        <x:v>84.15136674444909</x:v>
      </x:c>
      <x:c r="Q17" t="str">
        <x:v>오픈열람실에서_오픈열람실2_터트리기_1.jpg; 오픈열람실에서_오픈열람실2_터트리기_2.jpg</x:v>
      </x:c>
      <x:c r="R17" t="str">
        <x:v>기존 Excel 대응</x:v>
      </x:c>
      <x:c r="S17" t="str"/>
    </x:row>
    <x:row r="18" ht="15" hidden="0" customHeight="1">
      <x:c r="A18" t="str">
        <x:v>CONGESTED_OPEN2_R1</x:v>
      </x:c>
      <x:c r="B18" t="str">
        <x:v>혼잡 유도</x:v>
      </x:c>
      <x:c r="C18" t="str">
        <x:v>오픈열람실</x:v>
      </x:c>
      <x:c r="D18" t="str">
        <x:v>오픈열람실2 AP</x:v>
      </x:c>
      <x:c r="E18" t="str">
        <x:v>고정</x:v>
      </x:c>
      <x:c r="F18"/>
      <x:c r="G18" t="n">
        <x:v>1</x:v>
      </x:c>
      <x:c r="H18" t="n">
        <x:v>17</x:v>
      </x:c>
      <x:c r="I18" s="62" t="n">
        <x:v>-52</x:v>
      </x:c>
      <x:c r="J18" s="62" t="n">
        <x:v>1201</x:v>
      </x:c>
      <x:c r="K18" s="62" t="n">
        <x:v>31</x:v>
      </x:c>
      <x:c r="L18" s="62" t="n">
        <x:v>11</x:v>
      </x:c>
      <x:c r="M18" s="62" t="n">
        <x:v>0</x:v>
      </x:c>
      <x:c r="N18" s="62" t="n">
        <x:v>94.8056</x:v>
      </x:c>
      <x:c r="O18" s="62" t="n">
        <x:v>53.3613</x:v>
      </x:c>
      <x:c r="P18" s="62" t="n">
        <x:f>IF(OR(N18="",O18=""),"",2*N18*O18/(N18+O18))</x:f>
        <x:v>68.2871824041672</x:v>
      </x:c>
      <x:c r="Q18" t="str">
        <x:v>오픈열람실에서_오픈열람실2_터트리기_1.jpg; 오픈열람실에서_오픈열람실2_터트리기_2.jpg</x:v>
      </x:c>
      <x:c r="R18" t="str">
        <x:v>기존 Excel 대응</x:v>
      </x:c>
      <x:c r="S18" t="str"/>
    </x:row>
    <x:row r="19" ht="15" hidden="0" customHeight="1">
      <x:c r="A19" t="str">
        <x:v>CONGESTED_OPEN2_R1</x:v>
      </x:c>
      <x:c r="B19" t="str">
        <x:v>혼잡 유도</x:v>
      </x:c>
      <x:c r="C19" t="str">
        <x:v>오픈열람실</x:v>
      </x:c>
      <x:c r="D19" t="str">
        <x:v>오픈열람실2 AP</x:v>
      </x:c>
      <x:c r="E19" t="str">
        <x:v>고정</x:v>
      </x:c>
      <x:c r="F19"/>
      <x:c r="G19" t="n">
        <x:v>1</x:v>
      </x:c>
      <x:c r="H19" t="n">
        <x:v>18</x:v>
      </x:c>
      <x:c r="I19" s="62" t="n">
        <x:v>-54</x:v>
      </x:c>
      <x:c r="J19" s="62" t="n">
        <x:v>1201</x:v>
      </x:c>
      <x:c r="K19" s="62" t="n">
        <x:v>34</x:v>
      </x:c>
      <x:c r="L19" s="62" t="n">
        <x:v>6</x:v>
      </x:c>
      <x:c r="M19" s="62" t="n">
        <x:v>0</x:v>
      </x:c>
      <x:c r="N19" s="62" t="n">
        <x:v>30.0155</x:v>
      </x:c>
      <x:c r="O19" s="62" t="n">
        <x:v>77.8652</x:v>
      </x:c>
      <x:c r="P19" s="62" t="n">
        <x:f>IF(OR(N19="",O19=""),"",2*N19*O19/(N19+O19))</x:f>
        <x:v>43.32865675880857</x:v>
      </x:c>
      <x:c r="Q19" t="str">
        <x:v>오픈열람실에서_오픈열람실2_터트리기_1.jpg; 오픈열람실에서_오픈열람실2_터트리기_2.jpg</x:v>
      </x:c>
      <x:c r="R19" t="str">
        <x:v>기존 Excel 대응</x:v>
      </x:c>
      <x:c r="S19" t="str"/>
    </x:row>
    <x:row r="20" ht="15" hidden="0" customHeight="1">
      <x:c r="A20" t="str">
        <x:v>CONGESTED_OPEN2_R1</x:v>
      </x:c>
      <x:c r="B20" t="str">
        <x:v>혼잡 유도</x:v>
      </x:c>
      <x:c r="C20" t="str">
        <x:v>오픈열람실</x:v>
      </x:c>
      <x:c r="D20" t="str">
        <x:v>오픈열람실2 AP</x:v>
      </x:c>
      <x:c r="E20" t="str">
        <x:v>고정</x:v>
      </x:c>
      <x:c r="F20"/>
      <x:c r="G20" t="n">
        <x:v>1</x:v>
      </x:c>
      <x:c r="H20" t="n">
        <x:v>19</x:v>
      </x:c>
      <x:c r="I20" s="62" t="n">
        <x:v>-51</x:v>
      </x:c>
      <x:c r="J20" s="62" t="n">
        <x:v>1201</x:v>
      </x:c>
      <x:c r="K20" s="62" t="n">
        <x:v>34</x:v>
      </x:c>
      <x:c r="L20" s="62" t="n">
        <x:v>6</x:v>
      </x:c>
      <x:c r="M20" s="62" t="n">
        <x:v>0</x:v>
      </x:c>
      <x:c r="N20" s="62" t="n">
        <x:v>22.6047</x:v>
      </x:c>
      <x:c r="O20" s="62" t="n">
        <x:v>66.7671</x:v>
      </x:c>
      <x:c r="P20" s="62" t="n">
        <x:f>IF(OR(N20="",O20=""),"",2*N20*O20/(N20+O20))</x:f>
        <x:v>33.77464178566393</x:v>
      </x:c>
      <x:c r="Q20" t="str">
        <x:v>오픈열람실에서_오픈열람실2_터트리기_1.jpg; 오픈열람실에서_오픈열람실2_터트리기_2.jpg</x:v>
      </x:c>
      <x:c r="R20" t="str">
        <x:v>기존 Excel 대응</x:v>
      </x:c>
      <x:c r="S20" t="str"/>
    </x:row>
    <x:row r="21" ht="15" hidden="0" customHeight="1">
      <x:c r="A21" t="str">
        <x:v>CONGESTED_OPEN2_R1</x:v>
      </x:c>
      <x:c r="B21" t="str">
        <x:v>혼잡 유도</x:v>
      </x:c>
      <x:c r="C21" t="str">
        <x:v>오픈열람실</x:v>
      </x:c>
      <x:c r="D21" t="str">
        <x:v>오픈열람실2 AP</x:v>
      </x:c>
      <x:c r="E21" t="str">
        <x:v>고정</x:v>
      </x:c>
      <x:c r="F21"/>
      <x:c r="G21" t="n">
        <x:v>1</x:v>
      </x:c>
      <x:c r="H21" t="n">
        <x:v>20</x:v>
      </x:c>
      <x:c r="I21" s="62" t="n">
        <x:v>-50</x:v>
      </x:c>
      <x:c r="J21" s="62" t="n">
        <x:v>1201</x:v>
      </x:c>
      <x:c r="K21" s="62" t="n">
        <x:v>68</x:v>
      </x:c>
      <x:c r="L21" s="62" t="n">
        <x:v>8</x:v>
      </x:c>
      <x:c r="M21" s="62" t="n">
        <x:v>0</x:v>
      </x:c>
      <x:c r="N21" s="62" t="n">
        <x:v>82.3013</x:v>
      </x:c>
      <x:c r="O21" s="62" t="n">
        <x:v>61.3923</x:v>
      </x:c>
      <x:c r="P21" s="62" t="n">
        <x:f>IF(OR(N21="",O21=""),"",2*N21*O21/(N21+O21))</x:f>
        <x:v>70.32555520900026</x:v>
      </x:c>
      <x:c r="Q21" t="str">
        <x:v>오픈열람실에서_오픈열람실2_터트리기_1.jpg; 오픈열람실에서_오픈열람실2_터트리기_2.jpg</x:v>
      </x:c>
      <x:c r="R21" t="str">
        <x:v>기존 Excel 대응</x:v>
      </x:c>
      <x:c r="S21" t="str"/>
    </x:row>
    <x:row r="22" ht="15" hidden="0" customHeight="1">
      <x:c r="A22" t="str">
        <x:v>CONGESTED_OPEN2_R1</x:v>
      </x:c>
      <x:c r="B22" t="str">
        <x:v>혼잡 유도</x:v>
      </x:c>
      <x:c r="C22" t="str">
        <x:v>오픈열람실</x:v>
      </x:c>
      <x:c r="D22" t="str">
        <x:v>오픈열람실2 AP</x:v>
      </x:c>
      <x:c r="E22" t="str">
        <x:v>고정</x:v>
      </x:c>
      <x:c r="F22"/>
      <x:c r="G22" t="n">
        <x:v>1</x:v>
      </x:c>
      <x:c r="H22" t="n">
        <x:v>21</x:v>
      </x:c>
      <x:c r="I22" s="62" t="n">
        <x:v>-55</x:v>
      </x:c>
      <x:c r="J22" s="62" t="n">
        <x:v>1201</x:v>
      </x:c>
      <x:c r="K22" s="62" t="n">
        <x:v>38</x:v>
      </x:c>
      <x:c r="L22" s="62" t="n">
        <x:v>17</x:v>
      </x:c>
      <x:c r="M22" s="62" t="n">
        <x:v>0</x:v>
      </x:c>
      <x:c r="N22" s="62" t="n">
        <x:v>53.709</x:v>
      </x:c>
      <x:c r="O22" s="62" t="n">
        <x:v>57.7727</x:v>
      </x:c>
      <x:c r="P22" s="62" t="n">
        <x:f>IF(OR(N22="",O22=""),"",2*N22*O22/(N22+O22))</x:f>
        <x:v>55.66678556749673</x:v>
      </x:c>
      <x:c r="Q22" t="str">
        <x:v>오픈열람실에서_오픈열람실2_터트리기_1.jpg; 오픈열람실에서_오픈열람실2_터트리기_2.jpg</x:v>
      </x:c>
      <x:c r="R22" t="str">
        <x:v>기존 Excel 대응</x:v>
      </x:c>
      <x:c r="S22" t="str"/>
    </x:row>
    <x:row r="23" ht="15" hidden="0" customHeight="1">
      <x:c r="A23" t="str">
        <x:v>CONGESTED_OPEN2_R1</x:v>
      </x:c>
      <x:c r="B23" t="str">
        <x:v>혼잡 유도</x:v>
      </x:c>
      <x:c r="C23" t="str">
        <x:v>오픈열람실</x:v>
      </x:c>
      <x:c r="D23" t="str">
        <x:v>오픈열람실2 AP</x:v>
      </x:c>
      <x:c r="E23" t="str">
        <x:v>고정</x:v>
      </x:c>
      <x:c r="F23"/>
      <x:c r="G23" t="n">
        <x:v>1</x:v>
      </x:c>
      <x:c r="H23" t="n">
        <x:v>22</x:v>
      </x:c>
      <x:c r="I23" s="62" t="n">
        <x:v>-55</x:v>
      </x:c>
      <x:c r="J23" s="62" t="n">
        <x:v>1201</x:v>
      </x:c>
      <x:c r="K23" s="62" t="n">
        <x:v>52</x:v>
      </x:c>
      <x:c r="L23" s="62" t="n">
        <x:v>22</x:v>
      </x:c>
      <x:c r="M23" s="62" t="n">
        <x:v>0</x:v>
      </x:c>
      <x:c r="N23" s="62" t="n">
        <x:v>2.5139</x:v>
      </x:c>
      <x:c r="O23" s="62" t="n">
        <x:v>23.6903</x:v>
      </x:c>
      <x:c r="P23" s="62" t="n">
        <x:f>IF(OR(N23="",O23=""),"",2*N23*O23/(N23+O23))</x:f>
        <x:v>4.54545799299349</x:v>
      </x:c>
      <x:c r="Q23" t="str">
        <x:v>오픈열람실에서_오픈열람실2_터트리기_1.jpg; 오픈열람실에서_오픈열람실2_터트리기_2.jpg</x:v>
      </x:c>
      <x:c r="R23" t="str">
        <x:v>기존 Excel 대응</x:v>
      </x:c>
      <x:c r="S23" t="str"/>
    </x:row>
    <x:row r="24" ht="15" hidden="0" customHeight="1">
      <x:c r="A24" t="str">
        <x:v>CONGESTED_OPEN2_R1</x:v>
      </x:c>
      <x:c r="B24" t="str">
        <x:v>혼잡 유도</x:v>
      </x:c>
      <x:c r="C24" t="str">
        <x:v>오픈열람실</x:v>
      </x:c>
      <x:c r="D24" t="str">
        <x:v>오픈열람실2 AP</x:v>
      </x:c>
      <x:c r="E24" t="str">
        <x:v>고정</x:v>
      </x:c>
      <x:c r="F24"/>
      <x:c r="G24" t="n">
        <x:v>1</x:v>
      </x:c>
      <x:c r="H24" t="n">
        <x:v>23</x:v>
      </x:c>
      <x:c r="I24" s="62" t="n">
        <x:v>-55</x:v>
      </x:c>
      <x:c r="J24" s="62" t="n">
        <x:v>1201</x:v>
      </x:c>
      <x:c r="K24" s="62" t="n">
        <x:v>89</x:v>
      </x:c>
      <x:c r="L24" s="62" t="n">
        <x:v>23</x:v>
      </x:c>
      <x:c r="M24" s="62" t="n">
        <x:v>0</x:v>
      </x:c>
      <x:c r="N24" s="62" t="n">
        <x:v>22.582</x:v>
      </x:c>
      <x:c r="O24" s="62" t="n">
        <x:v>46.668</x:v>
      </x:c>
      <x:c r="P24" s="62" t="n">
        <x:f>IF(OR(N24="",O24=""),"",2*N24*O24/(N24+O24))</x:f>
        <x:v>30.436296779783397</x:v>
      </x:c>
      <x:c r="Q24" t="str">
        <x:v>오픈열람실에서_오픈열람실2_터트리기_1.jpg; 오픈열람실에서_오픈열람실2_터트리기_2.jpg</x:v>
      </x:c>
      <x:c r="R24" t="str">
        <x:v>기존 Excel 대응</x:v>
      </x:c>
      <x:c r="S24" t="str"/>
    </x:row>
    <x:row r="25" ht="15" hidden="0" customHeight="1">
      <x:c r="A25" t="str">
        <x:v>CONGESTED_OPEN2_R1</x:v>
      </x:c>
      <x:c r="B25" t="str">
        <x:v>혼잡 유도</x:v>
      </x:c>
      <x:c r="C25" t="str">
        <x:v>오픈열람실</x:v>
      </x:c>
      <x:c r="D25" t="str">
        <x:v>오픈열람실2 AP</x:v>
      </x:c>
      <x:c r="E25" t="str">
        <x:v>고정</x:v>
      </x:c>
      <x:c r="F25"/>
      <x:c r="G25" t="n">
        <x:v>1</x:v>
      </x:c>
      <x:c r="H25" t="n">
        <x:v>24</x:v>
      </x:c>
      <x:c r="I25" s="62" t="n">
        <x:v>-54</x:v>
      </x:c>
      <x:c r="J25" s="62" t="n">
        <x:v>1201</x:v>
      </x:c>
      <x:c r="K25" s="62" t="n">
        <x:v>71</x:v>
      </x:c>
      <x:c r="L25" s="62" t="n">
        <x:v>10</x:v>
      </x:c>
      <x:c r="M25" s="62" t="n">
        <x:v>0</x:v>
      </x:c>
      <x:c r="N25" s="62" t="n">
        <x:v>3.3465</x:v>
      </x:c>
      <x:c r="O25" s="62" t="n">
        <x:v>54.093</x:v>
      </x:c>
      <x:c r="P25" s="62" t="n">
        <x:f>IF(OR(N25="",O25=""),"",2*N25*O25/(N25+O25))</x:f>
        <x:v>6.3030571122659484</x:v>
      </x:c>
      <x:c r="Q25" t="str">
        <x:v>오픈열람실에서_오픈열람실2_터트리기_1.jpg; 오픈열람실에서_오픈열람실2_터트리기_2.jpg</x:v>
      </x:c>
      <x:c r="R25" t="str">
        <x:v>기존 Excel 대응</x:v>
      </x:c>
      <x:c r="S25" t="str"/>
    </x:row>
    <x:row r="26" ht="15" hidden="0" customHeight="1">
      <x:c r="A26" t="str">
        <x:v>CONGESTED_OPEN2_R1</x:v>
      </x:c>
      <x:c r="B26" t="str">
        <x:v>혼잡 유도</x:v>
      </x:c>
      <x:c r="C26" t="str">
        <x:v>오픈열람실</x:v>
      </x:c>
      <x:c r="D26" t="str">
        <x:v>오픈열람실2 AP</x:v>
      </x:c>
      <x:c r="E26" t="str">
        <x:v>고정</x:v>
      </x:c>
      <x:c r="F26"/>
      <x:c r="G26" t="n">
        <x:v>1</x:v>
      </x:c>
      <x:c r="H26" t="n">
        <x:v>25</x:v>
      </x:c>
      <x:c r="I26" s="62" t="n">
        <x:v>-51</x:v>
      </x:c>
      <x:c r="J26" s="62" t="n">
        <x:v>1201</x:v>
      </x:c>
      <x:c r="K26" s="62" t="n">
        <x:v>60</x:v>
      </x:c>
      <x:c r="L26" s="62" t="n">
        <x:v>21</x:v>
      </x:c>
      <x:c r="M26" s="62" t="n">
        <x:v>0</x:v>
      </x:c>
      <x:c r="N26" s="62" t="n">
        <x:v>55.8672</x:v>
      </x:c>
      <x:c r="O26" s="62" t="n">
        <x:v>54.1433</x:v>
      </x:c>
      <x:c r="P26" s="62" t="n">
        <x:f>IF(OR(N26="",O26=""),"",2*N26*O26/(N26+O26))</x:f>
        <x:v>54.99174296562601</x:v>
      </x:c>
      <x:c r="Q26" t="str">
        <x:v>오픈열람실에서_오픈열람실2_터트리기_1.jpg; 오픈열람실에서_오픈열람실2_터트리기_2.jpg</x:v>
      </x:c>
      <x:c r="R26" t="str">
        <x:v>기존 Excel 대응</x:v>
      </x:c>
      <x:c r="S26" t="str"/>
    </x:row>
    <x:row r="27" ht="15" hidden="0" customHeight="1">
      <x:c r="A27" t="str">
        <x:v>CONGESTED_OPEN2_R1</x:v>
      </x:c>
      <x:c r="B27" t="str">
        <x:v>혼잡 유도</x:v>
      </x:c>
      <x:c r="C27" t="str">
        <x:v>오픈열람실</x:v>
      </x:c>
      <x:c r="D27" t="str">
        <x:v>오픈열람실2 AP</x:v>
      </x:c>
      <x:c r="E27" t="str">
        <x:v>고정</x:v>
      </x:c>
      <x:c r="F27"/>
      <x:c r="G27" t="n">
        <x:v>1</x:v>
      </x:c>
      <x:c r="H27" t="n">
        <x:v>26</x:v>
      </x:c>
      <x:c r="I27" s="62" t="n">
        <x:v>-55</x:v>
      </x:c>
      <x:c r="J27" s="62" t="n">
        <x:v>1201</x:v>
      </x:c>
      <x:c r="K27" s="62" t="n">
        <x:v>73</x:v>
      </x:c>
      <x:c r="L27" s="62" t="n">
        <x:v>15</x:v>
      </x:c>
      <x:c r="M27" s="62" t="n">
        <x:v>0</x:v>
      </x:c>
      <x:c r="N27" s="62" t="n">
        <x:v>31.8771</x:v>
      </x:c>
      <x:c r="O27" s="62" t="n">
        <x:v>53.7997</x:v>
      </x:c>
      <x:c r="P27" s="62" t="n">
        <x:f>IF(OR(N27="",O27=""),"",2*N27*O27/(N27+O27))</x:f>
        <x:v>40.0336711191361</x:v>
      </x:c>
      <x:c r="Q27" t="str">
        <x:v>오픈열람실에서_오픈열람실2_터트리기_1.jpg; 오픈열람실에서_오픈열람실2_터트리기_2.jpg</x:v>
      </x:c>
      <x:c r="R27" t="str">
        <x:v>기존 Excel 대응</x:v>
      </x:c>
      <x:c r="S27" t="str"/>
    </x:row>
    <x:row r="28" ht="15" hidden="0" customHeight="1">
      <x:c r="A28" t="str">
        <x:v>CONGESTED_OPEN2_R1</x:v>
      </x:c>
      <x:c r="B28" t="str">
        <x:v>혼잡 유도</x:v>
      </x:c>
      <x:c r="C28" t="str">
        <x:v>오픈열람실</x:v>
      </x:c>
      <x:c r="D28" t="str">
        <x:v>오픈열람실2 AP</x:v>
      </x:c>
      <x:c r="E28" t="str">
        <x:v>고정</x:v>
      </x:c>
      <x:c r="F28"/>
      <x:c r="G28" t="n">
        <x:v>1</x:v>
      </x:c>
      <x:c r="H28" t="n">
        <x:v>27</x:v>
      </x:c>
      <x:c r="I28" s="62" t="n">
        <x:v>-51</x:v>
      </x:c>
      <x:c r="J28" s="62" t="n">
        <x:v>1201</x:v>
      </x:c>
      <x:c r="K28" s="62" t="n">
        <x:v>78</x:v>
      </x:c>
      <x:c r="L28" s="62" t="n">
        <x:v>31</x:v>
      </x:c>
      <x:c r="M28" s="62" t="n">
        <x:v>0</x:v>
      </x:c>
      <x:c r="N28" s="62" t="n">
        <x:v>2.5129</x:v>
      </x:c>
      <x:c r="O28" s="62" t="n">
        <x:v>20.071</x:v>
      </x:c>
      <x:c r="P28" s="62" t="n">
        <x:f>IF(OR(N28="",O28=""),"",2*N28*O28/(N28+O28))</x:f>
        <x:v>4.466581582454758</x:v>
      </x:c>
      <x:c r="Q28" t="str">
        <x:v>오픈열람실에서_오픈열람실2_터트리기_1.jpg; 오픈열람실에서_오픈열람실2_터트리기_2.jpg</x:v>
      </x:c>
      <x:c r="R28" t="str">
        <x:v>기존 Excel 대응</x:v>
      </x:c>
      <x:c r="S28" t="str"/>
    </x:row>
    <x:row r="29" ht="15" hidden="0" customHeight="1">
      <x:c r="A29" t="str">
        <x:v>CONGESTED_OPEN2_R1</x:v>
      </x:c>
      <x:c r="B29" t="str">
        <x:v>혼잡 유도</x:v>
      </x:c>
      <x:c r="C29" t="str">
        <x:v>오픈열람실</x:v>
      </x:c>
      <x:c r="D29" t="str">
        <x:v>오픈열람실2 AP</x:v>
      </x:c>
      <x:c r="E29" t="str">
        <x:v>고정</x:v>
      </x:c>
      <x:c r="F29"/>
      <x:c r="G29" t="n">
        <x:v>1</x:v>
      </x:c>
      <x:c r="H29" t="n">
        <x:v>28</x:v>
      </x:c>
      <x:c r="I29" s="62" t="n">
        <x:v>-50</x:v>
      </x:c>
      <x:c r="J29" s="62" t="n">
        <x:v>1201</x:v>
      </x:c>
      <x:c r="K29" s="62" t="n">
        <x:v>45</x:v>
      </x:c>
      <x:c r="L29" s="62" t="n">
        <x:v>9</x:v>
      </x:c>
      <x:c r="M29" s="62" t="n">
        <x:v>0</x:v>
      </x:c>
      <x:c r="N29" s="62" t="n">
        <x:v>5.4466</x:v>
      </x:c>
      <x:c r="O29" s="62" t="n">
        <x:v>4.2008</x:v>
      </x:c>
      <x:c r="P29" s="62" t="n">
        <x:f>IF(OR(N29="",O29=""),"",2*N29*O29/(N29+O29))</x:f>
        <x:v>4.743262906067956</x:v>
      </x:c>
      <x:c r="Q29" t="str">
        <x:v>오픈열람실에서_오픈열람실2_터트리기_1.jpg; 오픈열람실에서_오픈열람실2_터트리기_2.jpg</x:v>
      </x:c>
      <x:c r="R29" t="str">
        <x:v>기존 Excel 대응</x:v>
      </x:c>
      <x:c r="S29" t="str"/>
    </x:row>
    <x:row r="30" ht="15" hidden="0" customHeight="1">
      <x:c r="A30" t="str">
        <x:v>CONGESTED_OPEN2_R1</x:v>
      </x:c>
      <x:c r="B30" t="str">
        <x:v>혼잡 유도</x:v>
      </x:c>
      <x:c r="C30" t="str">
        <x:v>오픈열람실</x:v>
      </x:c>
      <x:c r="D30" t="str">
        <x:v>오픈열람실2 AP</x:v>
      </x:c>
      <x:c r="E30" t="str">
        <x:v>고정</x:v>
      </x:c>
      <x:c r="F30"/>
      <x:c r="G30" t="n">
        <x:v>1</x:v>
      </x:c>
      <x:c r="H30" t="n">
        <x:v>29</x:v>
      </x:c>
      <x:c r="I30" s="62" t="n">
        <x:v>-53</x:v>
      </x:c>
      <x:c r="J30" s="62" t="n">
        <x:v>1201</x:v>
      </x:c>
      <x:c r="K30" s="62" t="n">
        <x:v>61</x:v>
      </x:c>
      <x:c r="L30" s="62" t="n">
        <x:v>10</x:v>
      </x:c>
      <x:c r="M30" s="62" t="n">
        <x:v>0</x:v>
      </x:c>
      <x:c r="N30" s="62" t="n">
        <x:v>24.3332</x:v>
      </x:c>
      <x:c r="O30" s="62" t="n">
        <x:v>40.3799</x:v>
      </x:c>
      <x:c r="P30" s="62" t="n">
        <x:f>IF(OR(N30="",O30=""),"",2*N30*O30/(N30+O30))</x:f>
        <x:v>30.367025615524526</x:v>
      </x:c>
      <x:c r="Q30" t="str">
        <x:v>오픈열람실에서_오픈열람실2_터트리기_1.jpg; 오픈열람실에서_오픈열람실2_터트리기_2.jpg</x:v>
      </x:c>
      <x:c r="R30" t="str">
        <x:v>기존 Excel 대응</x:v>
      </x:c>
      <x:c r="S30" t="str"/>
    </x:row>
    <x:row r="31" ht="15" hidden="0" customHeight="1">
      <x:c r="A31" t="str">
        <x:v>CONGESTED_OPEN2_R1</x:v>
      </x:c>
      <x:c r="B31" t="str">
        <x:v>혼잡 유도</x:v>
      </x:c>
      <x:c r="C31" t="str">
        <x:v>오픈열람실</x:v>
      </x:c>
      <x:c r="D31" t="str">
        <x:v>오픈열람실2 AP</x:v>
      </x:c>
      <x:c r="E31" t="str">
        <x:v>고정</x:v>
      </x:c>
      <x:c r="F31"/>
      <x:c r="G31" t="n">
        <x:v>1</x:v>
      </x:c>
      <x:c r="H31" t="n">
        <x:v>30</x:v>
      </x:c>
      <x:c r="I31" s="62" t="n">
        <x:v>-51</x:v>
      </x:c>
      <x:c r="J31" s="62" t="n">
        <x:v>1201</x:v>
      </x:c>
      <x:c r="K31" s="62" t="n">
        <x:v>79</x:v>
      </x:c>
      <x:c r="L31" s="62" t="n">
        <x:v>11</x:v>
      </x:c>
      <x:c r="M31" s="62" t="n">
        <x:v>0</x:v>
      </x:c>
      <x:c r="N31" s="62" t="n">
        <x:v>9.6351</x:v>
      </x:c>
      <x:c r="O31" s="62" t="n">
        <x:v>74.6333</x:v>
      </x:c>
      <x:c r="P31" s="62" t="n">
        <x:f>IF(OR(N31="",O31=""),"",2*N31*O31/(N31+O31))</x:f>
        <x:v>17.066879371864186</x:v>
      </x:c>
      <x:c r="Q31" t="str">
        <x:v>오픈열람실에서_오픈열람실2_터트리기_1.jpg; 오픈열람실에서_오픈열람실2_터트리기_2.jpg</x:v>
      </x:c>
      <x:c r="R31" t="str">
        <x:v>기존 Excel 대응</x:v>
      </x:c>
      <x:c r="S31" t="str"/>
    </x:row>
    <x:row r="32" ht="15" hidden="0" customHeight="1">
      <x:c r="A32" t="str">
        <x:v>CONGESTED_OPEN2_R1</x:v>
      </x:c>
      <x:c r="B32" t="str">
        <x:v>혼잡 유도</x:v>
      </x:c>
      <x:c r="C32" t="str">
        <x:v>오픈열람실</x:v>
      </x:c>
      <x:c r="D32" t="str">
        <x:v>오픈열람실2 AP</x:v>
      </x:c>
      <x:c r="E32" t="str">
        <x:v>고정</x:v>
      </x:c>
      <x:c r="F32"/>
      <x:c r="G32" t="n">
        <x:v>1</x:v>
      </x:c>
      <x:c r="H32" t="n">
        <x:v>31</x:v>
      </x:c>
      <x:c r="I32" s="62" t="n">
        <x:v>-52</x:v>
      </x:c>
      <x:c r="J32" s="62" t="n">
        <x:v>1201</x:v>
      </x:c>
      <x:c r="K32" s="62" t="n">
        <x:v>59</x:v>
      </x:c>
      <x:c r="L32" s="62" t="n">
        <x:v>25</x:v>
      </x:c>
      <x:c r="M32" s="62" t="n">
        <x:v>0</x:v>
      </x:c>
      <x:c r="N32" s="62" t="n">
        <x:v>4.1892</x:v>
      </x:c>
      <x:c r="O32" s="62" t="n">
        <x:v>34.1418</x:v>
      </x:c>
      <x:c r="P32" s="62" t="n">
        <x:f>IF(OR(N32="",O32=""),"",2*N32*O32/(N32+O32))</x:f>
        <x:v>7.462723568912891</x:v>
      </x:c>
      <x:c r="Q32" t="str">
        <x:v>오픈열람실에서_오픈열람실2_터트리기_1.jpg; 오픈열람실에서_오픈열람실2_터트리기_2.jpg</x:v>
      </x:c>
      <x:c r="R32" t="str">
        <x:v>기존 Excel 대응</x:v>
      </x:c>
      <x:c r="S32" t="str"/>
    </x:row>
    <x:row r="33" ht="15" hidden="0" customHeight="1">
      <x:c r="A33" t="str">
        <x:v>CONGESTED_OPEN2_R1</x:v>
      </x:c>
      <x:c r="B33" t="str">
        <x:v>혼잡 유도</x:v>
      </x:c>
      <x:c r="C33" t="str">
        <x:v>오픈열람실</x:v>
      </x:c>
      <x:c r="D33" t="str">
        <x:v>오픈열람실2 AP</x:v>
      </x:c>
      <x:c r="E33" t="str">
        <x:v>고정</x:v>
      </x:c>
      <x:c r="F33"/>
      <x:c r="G33" t="n">
        <x:v>1</x:v>
      </x:c>
      <x:c r="H33" t="n">
        <x:v>32</x:v>
      </x:c>
      <x:c r="I33" s="62" t="n">
        <x:v>-55</x:v>
      </x:c>
      <x:c r="J33" s="62" t="n">
        <x:v>1201</x:v>
      </x:c>
      <x:c r="K33" s="62" t="n">
        <x:v>84</x:v>
      </x:c>
      <x:c r="L33" s="62" t="n">
        <x:v>34</x:v>
      </x:c>
      <x:c r="M33" s="62" t="n">
        <x:v>0</x:v>
      </x:c>
      <x:c r="N33" s="62" t="n">
        <x:v>7.3521</x:v>
      </x:c>
      <x:c r="O33" s="62" t="n">
        <x:v>1.2556</x:v>
      </x:c>
      <x:c r="P33" s="62" t="n">
        <x:f>IF(OR(N33="",O33=""),"",2*N33*O33/(N33+O33))</x:f>
        <x:v>2.14489277274998</x:v>
      </x:c>
      <x:c r="Q33" t="str">
        <x:v>오픈열람실에서_오픈열람실2_터트리기_1.jpg; 오픈열람실에서_오픈열람실2_터트리기_2.jpg</x:v>
      </x:c>
      <x:c r="R33" t="str">
        <x:v>기존 Excel 대응</x:v>
      </x:c>
      <x:c r="S33" t="str"/>
    </x:row>
    <x:row r="34" ht="15" hidden="0" customHeight="1">
      <x:c r="A34" t="str">
        <x:v>CONGESTED_OPEN2_R1</x:v>
      </x:c>
      <x:c r="B34" t="str">
        <x:v>혼잡 유도</x:v>
      </x:c>
      <x:c r="C34" t="str">
        <x:v>오픈열람실</x:v>
      </x:c>
      <x:c r="D34" t="str">
        <x:v>오픈열람실2 AP</x:v>
      </x:c>
      <x:c r="E34" t="str">
        <x:v>고정</x:v>
      </x:c>
      <x:c r="F34"/>
      <x:c r="G34" t="n">
        <x:v>1</x:v>
      </x:c>
      <x:c r="H34" t="n">
        <x:v>33</x:v>
      </x:c>
      <x:c r="I34" s="62" t="n">
        <x:v>-53</x:v>
      </x:c>
      <x:c r="J34" s="62" t="n">
        <x:v>1201</x:v>
      </x:c>
      <x:c r="K34" s="62" t="n">
        <x:v>85</x:v>
      </x:c>
      <x:c r="L34" s="62" t="n">
        <x:v>36</x:v>
      </x:c>
      <x:c r="M34" s="62" t="n">
        <x:v>0</x:v>
      </x:c>
      <x:c r="N34" s="62" t="n">
        <x:v>0.4159</x:v>
      </x:c>
      <x:c r="O34" s="62" t="n">
        <x:v>23.2031</x:v>
      </x:c>
      <x:c r="P34" s="62" t="n">
        <x:f>IF(OR(N34="",O34=""),"",2*N34*O34/(N34+O34))</x:f>
        <x:v>0.817153079300563</x:v>
      </x:c>
      <x:c r="Q34" t="str">
        <x:v>오픈열람실에서_오픈열람실2_터트리기_1.jpg; 오픈열람실에서_오픈열람실2_터트리기_2.jpg</x:v>
      </x:c>
      <x:c r="R34" t="str">
        <x:v>기존 Excel 대응</x:v>
      </x:c>
      <x:c r="S34" t="str"/>
    </x:row>
    <x:row r="35" ht="15" hidden="0" customHeight="1">
      <x:c r="A35" t="str">
        <x:v>CONGESTED_OPEN2_R1</x:v>
      </x:c>
      <x:c r="B35" t="str">
        <x:v>혼잡 유도</x:v>
      </x:c>
      <x:c r="C35" t="str">
        <x:v>오픈열람실</x:v>
      </x:c>
      <x:c r="D35" t="str">
        <x:v>오픈열람실2 AP</x:v>
      </x:c>
      <x:c r="E35" t="str">
        <x:v>고정</x:v>
      </x:c>
      <x:c r="F35"/>
      <x:c r="G35" t="n">
        <x:v>1</x:v>
      </x:c>
      <x:c r="H35" t="n">
        <x:v>34</x:v>
      </x:c>
      <x:c r="I35" s="62" t="n">
        <x:v>-58</x:v>
      </x:c>
      <x:c r="J35" s="62" t="n">
        <x:v>1080.8</x:v>
      </x:c>
      <x:c r="K35" s="62" t="n">
        <x:v>87</x:v>
      </x:c>
      <x:c r="L35" s="62" t="n">
        <x:v>56</x:v>
      </x:c>
      <x:c r="M35" s="62" t="n">
        <x:v>0</x:v>
      </x:c>
      <x:c r="N35" s="62" t="n">
        <x:v>3.3454</x:v>
      </x:c>
      <x:c r="O35" s="62" t="n">
        <x:v>24.0745</x:v>
      </x:c>
      <x:c r="P35" s="62" t="n">
        <x:f>IF(OR(N35="",O35=""),"",2*N35*O35/(N35+O35))</x:f>
        <x:v>5.87448038103713</x:v>
      </x:c>
      <x:c r="Q35" t="str">
        <x:v>오픈열람실에서_오픈열람실2_터트리기_1.jpg; 오픈열람실에서_오픈열람실2_터트리기_2.jpg</x:v>
      </x:c>
      <x:c r="R35" t="str">
        <x:v>기존 Excel 대응</x:v>
      </x:c>
      <x:c r="S35" t="str"/>
    </x:row>
    <x:row r="36" ht="15" hidden="0" customHeight="1">
      <x:c r="A36" t="str">
        <x:v>CONGESTED_OPEN2_R1</x:v>
      </x:c>
      <x:c r="B36" t="str">
        <x:v>혼잡 유도</x:v>
      </x:c>
      <x:c r="C36" t="str">
        <x:v>오픈열람실</x:v>
      </x:c>
      <x:c r="D36" t="str">
        <x:v>오픈열람실2 AP</x:v>
      </x:c>
      <x:c r="E36" t="str">
        <x:v>고정</x:v>
      </x:c>
      <x:c r="F36"/>
      <x:c r="G36" t="n">
        <x:v>1</x:v>
      </x:c>
      <x:c r="H36" t="n">
        <x:v>35</x:v>
      </x:c>
      <x:c r="I36" s="62" t="n">
        <x:v>-52</x:v>
      </x:c>
      <x:c r="J36" s="62" t="n">
        <x:v>1201</x:v>
      </x:c>
      <x:c r="K36" s="62" t="n">
        <x:v>83</x:v>
      </x:c>
      <x:c r="L36" s="62" t="n">
        <x:v>19</x:v>
      </x:c>
      <x:c r="M36" s="62" t="n">
        <x:v>0</x:v>
      </x:c>
      <x:c r="N36" s="62" t="n">
        <x:v>16.5442</x:v>
      </x:c>
      <x:c r="O36" s="62" t="n">
        <x:v>58.5332</x:v>
      </x:c>
      <x:c r="P36" s="62" t="n">
        <x:f>IF(OR(N36="",O36=""),"",2*N36*O36/(N36+O36))</x:f>
        <x:v>25.796976651828647</x:v>
      </x:c>
      <x:c r="Q36" t="str">
        <x:v>오픈열람실에서_오픈열람실2_터트리기_1.jpg; 오픈열람실에서_오픈열람실2_터트리기_2.jpg</x:v>
      </x:c>
      <x:c r="R36" t="str">
        <x:v>기존 Excel 대응</x:v>
      </x:c>
      <x:c r="S36" t="str"/>
    </x:row>
    <x:row r="37" ht="15" hidden="0" customHeight="1">
      <x:c r="A37" t="str">
        <x:v>CONGESTED_OPEN2_R1</x:v>
      </x:c>
      <x:c r="B37" t="str">
        <x:v>혼잡 유도</x:v>
      </x:c>
      <x:c r="C37" t="str">
        <x:v>오픈열람실</x:v>
      </x:c>
      <x:c r="D37" t="str">
        <x:v>오픈열람실2 AP</x:v>
      </x:c>
      <x:c r="E37" t="str">
        <x:v>고정</x:v>
      </x:c>
      <x:c r="F37"/>
      <x:c r="G37" t="n">
        <x:v>1</x:v>
      </x:c>
      <x:c r="H37" t="n">
        <x:v>36</x:v>
      </x:c>
      <x:c r="I37" s="62" t="n">
        <x:v>-56</x:v>
      </x:c>
      <x:c r="J37" s="62" t="n">
        <x:v>1201</x:v>
      </x:c>
      <x:c r="K37" s="62" t="n">
        <x:v>78</x:v>
      </x:c>
      <x:c r="L37" s="62" t="n">
        <x:v>26</x:v>
      </x:c>
      <x:c r="M37" s="62" t="n">
        <x:v>0</x:v>
      </x:c>
      <x:c r="N37" s="62" t="n">
        <x:v>88.2988</x:v>
      </x:c>
      <x:c r="O37" s="62" t="n">
        <x:v>50.625</x:v>
      </x:c>
      <x:c r="P37" s="62" t="n">
        <x:f>IF(OR(N37="",O37=""),"",2*N37*O37/(N37+O37))</x:f>
        <x:v>64.35364926672032</x:v>
      </x:c>
      <x:c r="Q37" t="str">
        <x:v>오픈열람실에서_오픈열람실2_터트리기_1.jpg; 오픈열람실에서_오픈열람실2_터트리기_2.jpg</x:v>
      </x:c>
      <x:c r="R37" t="str">
        <x:v>기존 Excel 대응</x:v>
      </x:c>
      <x:c r="S37" t="str"/>
    </x:row>
    <x:row r="38" ht="15" hidden="0" customHeight="1">
      <x:c r="A38" t="str">
        <x:v>CONGESTED_OPEN2_R1</x:v>
      </x:c>
      <x:c r="B38" t="str">
        <x:v>혼잡 유도</x:v>
      </x:c>
      <x:c r="C38" t="str">
        <x:v>오픈열람실</x:v>
      </x:c>
      <x:c r="D38" t="str">
        <x:v>오픈열람실2 AP</x:v>
      </x:c>
      <x:c r="E38" t="str">
        <x:v>고정</x:v>
      </x:c>
      <x:c r="F38"/>
      <x:c r="G38" t="n">
        <x:v>1</x:v>
      </x:c>
      <x:c r="H38" t="n">
        <x:v>37</x:v>
      </x:c>
      <x:c r="I38" s="62" t="n">
        <x:v>-54</x:v>
      </x:c>
      <x:c r="J38" s="62" t="n">
        <x:v>1201</x:v>
      </x:c>
      <x:c r="K38" s="62" t="n">
        <x:v>56</x:v>
      </x:c>
      <x:c r="L38" s="62" t="n">
        <x:v>10</x:v>
      </x:c>
      <x:c r="M38" s="62" t="n">
        <x:v>0</x:v>
      </x:c>
      <x:c r="N38" s="62" t="n">
        <x:v>31.8765</x:v>
      </x:c>
      <x:c r="O38" s="62" t="n">
        <x:v>38.8818</x:v>
      </x:c>
      <x:c r="P38" s="62" t="n">
        <x:f>IF(OR(N38="",O38=""),"",2*N38*O38/(N38+O38))</x:f>
        <x:v>35.0323763487817</x:v>
      </x:c>
      <x:c r="Q38" t="str">
        <x:v>오픈열람실에서_오픈열람실2_터트리기_1.jpg; 오픈열람실에서_오픈열람실2_터트리기_2.jpg</x:v>
      </x:c>
      <x:c r="R38" t="str">
        <x:v>기존 Excel 대응</x:v>
      </x:c>
      <x:c r="S38" t="str"/>
    </x:row>
    <x:row r="39" ht="15" hidden="0" customHeight="1">
      <x:c r="A39" t="str">
        <x:v>CONGESTED_OPEN2_R1</x:v>
      </x:c>
      <x:c r="B39" t="str">
        <x:v>혼잡 유도</x:v>
      </x:c>
      <x:c r="C39" t="str">
        <x:v>오픈열람실</x:v>
      </x:c>
      <x:c r="D39" t="str">
        <x:v>오픈열람실2 AP</x:v>
      </x:c>
      <x:c r="E39" t="str">
        <x:v>고정</x:v>
      </x:c>
      <x:c r="F39"/>
      <x:c r="G39" t="n">
        <x:v>1</x:v>
      </x:c>
      <x:c r="H39" t="n">
        <x:v>38</x:v>
      </x:c>
      <x:c r="I39" s="62" t="n">
        <x:v>-53</x:v>
      </x:c>
      <x:c r="J39" s="62" t="n">
        <x:v>1201</x:v>
      </x:c>
      <x:c r="K39" s="62" t="n">
        <x:v>87</x:v>
      </x:c>
      <x:c r="L39" s="62" t="n">
        <x:v>54</x:v>
      </x:c>
      <x:c r="M39" s="62" t="n">
        <x:v>0</x:v>
      </x:c>
      <x:c r="N39" s="62" t="n">
        <x:v>0.6263</x:v>
      </x:c>
      <x:c r="O39" s="62" t="n">
        <x:v>36.8659</x:v>
      </x:c>
      <x:c r="P39" s="62" t="n">
        <x:f>IF(OR(N39="",O39=""),"",2*N39*O39/(N39+O39))</x:f>
        <x:v>1.2316755575826437</x:v>
      </x:c>
      <x:c r="Q39" t="str">
        <x:v>오픈열람실에서_오픈열람실2_터트리기_1.jpg; 오픈열람실에서_오픈열람실2_터트리기_2.jpg</x:v>
      </x:c>
      <x:c r="R39" t="str">
        <x:v>기존 Excel 대응</x:v>
      </x:c>
      <x:c r="S39" t="str"/>
    </x:row>
    <x:row r="40" ht="15" hidden="0" customHeight="1">
      <x:c r="A40" t="str">
        <x:v>CONGESTED_OPEN2_R1</x:v>
      </x:c>
      <x:c r="B40" t="str">
        <x:v>혼잡 유도</x:v>
      </x:c>
      <x:c r="C40" t="str">
        <x:v>오픈열람실</x:v>
      </x:c>
      <x:c r="D40" t="str">
        <x:v>오픈열람실2 AP</x:v>
      </x:c>
      <x:c r="E40" t="str">
        <x:v>고정</x:v>
      </x:c>
      <x:c r="F40"/>
      <x:c r="G40" t="n">
        <x:v>1</x:v>
      </x:c>
      <x:c r="H40" t="n">
        <x:v>39</x:v>
      </x:c>
      <x:c r="I40" s="62" t="n">
        <x:v>-52</x:v>
      </x:c>
      <x:c r="J40" s="62" t="n">
        <x:v>1201</x:v>
      </x:c>
      <x:c r="K40" s="62" t="n">
        <x:v>84</x:v>
      </x:c>
      <x:c r="L40" s="62" t="n">
        <x:v>24</x:v>
      </x:c>
      <x:c r="M40" s="62" t="n">
        <x:v>0</x:v>
      </x:c>
      <x:c r="N40" s="62" t="n">
        <x:v>1.0434</x:v>
      </x:c>
      <x:c r="O40" s="62" t="n">
        <x:v>16.4446</x:v>
      </x:c>
      <x:c r="P40" s="62" t="n">
        <x:f>IF(OR(N40="",O40=""),"",2*N40*O40/(N40+O40))</x:f>
        <x:v>1.962293645928637</x:v>
      </x:c>
      <x:c r="Q40" t="str">
        <x:v>오픈열람실에서_오픈열람실2_터트리기_1.jpg; 오픈열람실에서_오픈열람실2_터트리기_2.jpg</x:v>
      </x:c>
      <x:c r="R40" t="str">
        <x:v>기존 Excel 대응</x:v>
      </x:c>
      <x:c r="S40" t="str"/>
    </x:row>
    <x:row r="41" ht="15" hidden="0" customHeight="1">
      <x:c r="A41" t="str">
        <x:v>CONGESTED_OPEN2_R1</x:v>
      </x:c>
      <x:c r="B41" t="str">
        <x:v>혼잡 유도</x:v>
      </x:c>
      <x:c r="C41" t="str">
        <x:v>오픈열람실</x:v>
      </x:c>
      <x:c r="D41" t="str">
        <x:v>오픈열람실2 AP</x:v>
      </x:c>
      <x:c r="E41" t="str">
        <x:v>고정</x:v>
      </x:c>
      <x:c r="F41"/>
      <x:c r="G41" t="n">
        <x:v>1</x:v>
      </x:c>
      <x:c r="H41" t="n">
        <x:v>40</x:v>
      </x:c>
      <x:c r="I41" s="62" t="n">
        <x:v>-53</x:v>
      </x:c>
      <x:c r="J41" s="62" t="n">
        <x:v>1201</x:v>
      </x:c>
      <x:c r="K41" s="62" t="n">
        <x:v>71</x:v>
      </x:c>
      <x:c r="L41" s="62" t="n">
        <x:v>30</x:v>
      </x:c>
      <x:c r="M41" s="62" t="n">
        <x:v>0</x:v>
      </x:c>
      <x:c r="N41" s="62" t="n">
        <x:v>2.3017</x:v>
      </x:c>
      <x:c r="O41" s="62" t="n">
        <x:v>19.6817</x:v>
      </x:c>
      <x:c r="P41" s="62" t="n">
        <x:f>IF(OR(N41="",O41=""),"",2*N41*O41/(N41+O41))</x:f>
        <x:v>4.12141605848049</x:v>
      </x:c>
      <x:c r="Q41" t="str">
        <x:v>오픈열람실에서_오픈열람실2_터트리기_1.jpg; 오픈열람실에서_오픈열람실2_터트리기_2.jpg</x:v>
      </x:c>
      <x:c r="R41" t="str">
        <x:v>기존 Excel 대응</x:v>
      </x:c>
      <x:c r="S41" t="str"/>
    </x:row>
    <x:row r="42" ht="15" hidden="0" customHeight="1">
      <x:c r="A42" t="str">
        <x:v>CONGESTED_OPEN2_R1</x:v>
      </x:c>
      <x:c r="B42" t="str">
        <x:v>혼잡 유도</x:v>
      </x:c>
      <x:c r="C42" t="str">
        <x:v>오픈열람실</x:v>
      </x:c>
      <x:c r="D42" t="str">
        <x:v>오픈열람실2 AP</x:v>
      </x:c>
      <x:c r="E42" t="str">
        <x:v>고정</x:v>
      </x:c>
      <x:c r="F42"/>
      <x:c r="G42" t="n">
        <x:v>1</x:v>
      </x:c>
      <x:c r="H42" t="n">
        <x:v>41</x:v>
      </x:c>
      <x:c r="I42" s="62" t="n">
        <x:v>-50</x:v>
      </x:c>
      <x:c r="J42" s="62" t="n">
        <x:v>1201</x:v>
      </x:c>
      <x:c r="K42" s="62" t="n">
        <x:v>77</x:v>
      </x:c>
      <x:c r="L42" s="62" t="n">
        <x:v>32</x:v>
      </x:c>
      <x:c r="M42" s="62" t="n">
        <x:v>3.3333</x:v>
      </x:c>
      <x:c r="N42" s="62" t="n">
        <x:v>26.353</x:v>
      </x:c>
      <x:c r="O42" s="62" t="n">
        <x:v>37.4645</x:v>
      </x:c>
      <x:c r="P42" s="62" t="n">
        <x:f>IF(OR(N42="",O42=""),"",2*N42*O42/(N42+O42))</x:f>
        <x:v>30.94141790261292</x:v>
      </x:c>
      <x:c r="Q42" t="str">
        <x:v>오픈열람실에서_오픈열람실2_터트리기_1.jpg; 오픈열람실에서_오픈열람실2_터트리기_2.jpg</x:v>
      </x:c>
      <x:c r="R42" t="str">
        <x:v>기존 Excel 대응</x:v>
      </x:c>
      <x:c r="S42" t="str"/>
    </x:row>
    <x:row r="43" ht="15" hidden="0" customHeight="1">
      <x:c r="A43" t="str">
        <x:v>CONGESTED_OPEN2_R1</x:v>
      </x:c>
      <x:c r="B43" t="str">
        <x:v>혼잡 유도</x:v>
      </x:c>
      <x:c r="C43" t="str">
        <x:v>오픈열람실</x:v>
      </x:c>
      <x:c r="D43" t="str">
        <x:v>오픈열람실2 AP</x:v>
      </x:c>
      <x:c r="E43" t="str">
        <x:v>고정</x:v>
      </x:c>
      <x:c r="F43"/>
      <x:c r="G43" t="n">
        <x:v>1</x:v>
      </x:c>
      <x:c r="H43" t="n">
        <x:v>42</x:v>
      </x:c>
      <x:c r="I43" s="62" t="n">
        <x:v>-50</x:v>
      </x:c>
      <x:c r="J43" s="62" t="n">
        <x:v>1201</x:v>
      </x:c>
      <x:c r="K43" s="62" t="n">
        <x:v>83</x:v>
      </x:c>
      <x:c r="L43" s="62" t="n">
        <x:v>29</x:v>
      </x:c>
      <x:c r="M43" s="62" t="n">
        <x:v>0</x:v>
      </x:c>
      <x:c r="N43" s="62" t="n">
        <x:v>2.5233</x:v>
      </x:c>
      <x:c r="O43" s="62" t="n">
        <x:v>32.9268</x:v>
      </x:c>
      <x:c r="P43" s="62" t="n">
        <x:f>IF(OR(N43="",O43=""),"",2*N43*O43/(N43+O43))</x:f>
        <x:v>4.687388438396506</x:v>
      </x:c>
      <x:c r="Q43" t="str">
        <x:v>오픈열람실에서_오픈열람실2_터트리기_1.jpg; 오픈열람실에서_오픈열람실2_터트리기_2.jpg</x:v>
      </x:c>
      <x:c r="R43" t="str">
        <x:v>기존 Excel 대응</x:v>
      </x:c>
      <x:c r="S43" t="str"/>
    </x:row>
    <x:row r="44" ht="15" hidden="0" customHeight="1">
      <x:c r="A44" t="str">
        <x:v>CONGESTED_OPEN2_R1</x:v>
      </x:c>
      <x:c r="B44" t="str">
        <x:v>혼잡 유도</x:v>
      </x:c>
      <x:c r="C44" t="str">
        <x:v>오픈열람실</x:v>
      </x:c>
      <x:c r="D44" t="str">
        <x:v>오픈열람실2 AP</x:v>
      </x:c>
      <x:c r="E44" t="str">
        <x:v>고정</x:v>
      </x:c>
      <x:c r="F44"/>
      <x:c r="G44" t="n">
        <x:v>1</x:v>
      </x:c>
      <x:c r="H44" t="n">
        <x:v>43</x:v>
      </x:c>
      <x:c r="I44" s="62" t="n">
        <x:v>-59</x:v>
      </x:c>
      <x:c r="J44" s="62" t="n">
        <x:v>1201</x:v>
      </x:c>
      <x:c r="K44" s="62" t="n">
        <x:v>84</x:v>
      </x:c>
      <x:c r="L44" s="62" t="n">
        <x:v>13</x:v>
      </x:c>
      <x:c r="M44" s="62" t="n">
        <x:v>0</x:v>
      </x:c>
      <x:c r="N44" s="62" t="n">
        <x:v>4.1868</x:v>
      </x:c>
      <x:c r="O44" s="62" t="n">
        <x:v>17.6352</x:v>
      </x:c>
      <x:c r="P44" s="62" t="n">
        <x:f>IF(OR(N44="",O44=""),"",2*N44*O44/(N44+O44))</x:f>
        <x:v>6.767029177893868</x:v>
      </x:c>
      <x:c r="Q44" t="str">
        <x:v>오픈열람실에서_오픈열람실2_터트리기_1.jpg; 오픈열람실에서_오픈열람실2_터트리기_2.jpg</x:v>
      </x:c>
      <x:c r="R44" t="str">
        <x:v>기존 Excel 대응</x:v>
      </x:c>
      <x:c r="S44" t="str"/>
    </x:row>
    <x:row r="45" ht="15" hidden="0" customHeight="1">
      <x:c r="A45" t="str">
        <x:v>CONGESTED_OPEN2_R1</x:v>
      </x:c>
      <x:c r="B45" t="str">
        <x:v>혼잡 유도</x:v>
      </x:c>
      <x:c r="C45" t="str">
        <x:v>오픈열람실</x:v>
      </x:c>
      <x:c r="D45" t="str">
        <x:v>오픈열람실2 AP</x:v>
      </x:c>
      <x:c r="E45" t="str">
        <x:v>고정</x:v>
      </x:c>
      <x:c r="F45"/>
      <x:c r="G45" t="n">
        <x:v>1</x:v>
      </x:c>
      <x:c r="H45" t="n">
        <x:v>44</x:v>
      </x:c>
      <x:c r="I45" s="62" t="n">
        <x:v>-53</x:v>
      </x:c>
      <x:c r="J45" s="62" t="n">
        <x:v>1201</x:v>
      </x:c>
      <x:c r="K45" s="62" t="n">
        <x:v>82</x:v>
      </x:c>
      <x:c r="L45" s="62" t="n">
        <x:v>15</x:v>
      </x:c>
      <x:c r="M45" s="62" t="n">
        <x:v>0</x:v>
      </x:c>
      <x:c r="N45" s="62" t="n">
        <x:v>28.7015</x:v>
      </x:c>
      <x:c r="O45" s="62" t="n">
        <x:v>90.7586</x:v>
      </x:c>
      <x:c r="P45" s="62" t="n">
        <x:f>IF(OR(N45="",O45=""),"",2*N45*O45/(N45+O45))</x:f>
        <x:v>43.61134735196103</x:v>
      </x:c>
      <x:c r="Q45" t="str">
        <x:v>오픈열람실에서_오픈열람실2_터트리기_1.jpg; 오픈열람실에서_오픈열람실2_터트리기_2.jpg</x:v>
      </x:c>
      <x:c r="R45" t="str">
        <x:v>기존 Excel 대응</x:v>
      </x:c>
      <x:c r="S45" t="str"/>
    </x:row>
    <x:row r="46" ht="15" hidden="0" customHeight="1">
      <x:c r="A46" t="str">
        <x:v>CONGESTED_OPEN2_R1</x:v>
      </x:c>
      <x:c r="B46" t="str">
        <x:v>혼잡 유도</x:v>
      </x:c>
      <x:c r="C46" t="str">
        <x:v>오픈열람실</x:v>
      </x:c>
      <x:c r="D46" t="str">
        <x:v>오픈열람실2 AP</x:v>
      </x:c>
      <x:c r="E46" t="str">
        <x:v>고정</x:v>
      </x:c>
      <x:c r="F46"/>
      <x:c r="G46" t="n">
        <x:v>1</x:v>
      </x:c>
      <x:c r="H46" t="n">
        <x:v>45</x:v>
      </x:c>
      <x:c r="I46" s="62" t="n">
        <x:v>-57</x:v>
      </x:c>
      <x:c r="J46" s="62" t="n">
        <x:v>1201</x:v>
      </x:c>
      <x:c r="K46" s="62" t="n">
        <x:v>51</x:v>
      </x:c>
      <x:c r="L46" s="62" t="n">
        <x:v>23</x:v>
      </x:c>
      <x:c r="M46" s="62" t="n">
        <x:v>0</x:v>
      </x:c>
      <x:c r="N46" s="62" t="n">
        <x:v>47.7058</x:v>
      </x:c>
      <x:c r="O46" s="62" t="n">
        <x:v>61.0933</x:v>
      </x:c>
      <x:c r="P46" s="62" t="n">
        <x:f>IF(OR(N46="",O46=""),"",2*N46*O46/(N46+O46))</x:f>
        <x:v>53.57589816717234</x:v>
      </x:c>
      <x:c r="Q46" t="str">
        <x:v>오픈열람실에서_오픈열람실2_터트리기_1.jpg; 오픈열람실에서_오픈열람실2_터트리기_2.jpg</x:v>
      </x:c>
      <x:c r="R46" t="str">
        <x:v>기존 Excel 대응</x:v>
      </x:c>
      <x:c r="S46" t="str"/>
    </x:row>
    <x:row r="47" ht="15" hidden="0" customHeight="1">
      <x:c r="A47" t="str">
        <x:v>CONGESTED_OPEN2_R1</x:v>
      </x:c>
      <x:c r="B47" t="str">
        <x:v>혼잡 유도</x:v>
      </x:c>
      <x:c r="C47" t="str">
        <x:v>오픈열람실</x:v>
      </x:c>
      <x:c r="D47" t="str">
        <x:v>오픈열람실2 AP</x:v>
      </x:c>
      <x:c r="E47" t="str">
        <x:v>고정</x:v>
      </x:c>
      <x:c r="F47"/>
      <x:c r="G47" t="n">
        <x:v>1</x:v>
      </x:c>
      <x:c r="H47" t="n">
        <x:v>46</x:v>
      </x:c>
      <x:c r="I47" s="62" t="n">
        <x:v>-54</x:v>
      </x:c>
      <x:c r="J47" s="62" t="n">
        <x:v>1201</x:v>
      </x:c>
      <x:c r="K47" s="62" t="n">
        <x:v>79</x:v>
      </x:c>
      <x:c r="L47" s="62" t="n">
        <x:v>25</x:v>
      </x:c>
      <x:c r="M47" s="62" t="n">
        <x:v>0</x:v>
      </x:c>
      <x:c r="N47" s="62" t="n">
        <x:v>4.1881</x:v>
      </x:c>
      <x:c r="O47" s="62" t="n">
        <x:v>50.2445</x:v>
      </x:c>
      <x:c r="P47" s="62" t="n">
        <x:f>IF(OR(N47="",O47=""),"",2*N47*O47/(N47+O47))</x:f>
        <x:v>7.731726592152497</x:v>
      </x:c>
      <x:c r="Q47" t="str">
        <x:v>오픈열람실에서_오픈열람실2_터트리기_1.jpg; 오픈열람실에서_오픈열람실2_터트리기_2.jpg</x:v>
      </x:c>
      <x:c r="R47" t="str">
        <x:v>기존 Excel 대응</x:v>
      </x:c>
      <x:c r="S47" t="str"/>
    </x:row>
    <x:row r="48" ht="15" hidden="0" customHeight="1">
      <x:c r="A48" t="str">
        <x:v>CONGESTED_OPEN2_R1</x:v>
      </x:c>
      <x:c r="B48" t="str">
        <x:v>혼잡 유도</x:v>
      </x:c>
      <x:c r="C48" t="str">
        <x:v>오픈열람실</x:v>
      </x:c>
      <x:c r="D48" t="str">
        <x:v>오픈열람실2 AP</x:v>
      </x:c>
      <x:c r="E48" t="str">
        <x:v>고정</x:v>
      </x:c>
      <x:c r="F48"/>
      <x:c r="G48" t="n">
        <x:v>1</x:v>
      </x:c>
      <x:c r="H48" t="n">
        <x:v>47</x:v>
      </x:c>
      <x:c r="I48" s="62" t="n">
        <x:v>-51</x:v>
      </x:c>
      <x:c r="J48" s="62" t="n">
        <x:v>1201</x:v>
      </x:c>
      <x:c r="K48" s="62" t="n">
        <x:v>58</x:v>
      </x:c>
      <x:c r="L48" s="62" t="n">
        <x:v>16</x:v>
      </x:c>
      <x:c r="M48" s="62" t="n">
        <x:v>0</x:v>
      </x:c>
      <x:c r="N48" s="62" t="n">
        <x:v>19.9097</x:v>
      </x:c>
      <x:c r="O48" s="62" t="n">
        <x:v>32.4278</x:v>
      </x:c>
      <x:c r="P48" s="62" t="n">
        <x:f>IF(OR(N48="",O48=""),"",2*N48*O48/(N48+O48))</x:f>
        <x:v>24.67170841786482</x:v>
      </x:c>
      <x:c r="Q48" t="str">
        <x:v>오픈열람실에서_오픈열람실2_터트리기_1.jpg; 오픈열람실에서_오픈열람실2_터트리기_2.jpg</x:v>
      </x:c>
      <x:c r="R48" t="str">
        <x:v>기존 Excel 대응</x:v>
      </x:c>
      <x:c r="S48" t="str"/>
    </x:row>
    <x:row r="49" ht="15" hidden="0" customHeight="1">
      <x:c r="A49" t="str">
        <x:v>CONGESTED_OPEN2_R1</x:v>
      </x:c>
      <x:c r="B49" t="str">
        <x:v>혼잡 유도</x:v>
      </x:c>
      <x:c r="C49" t="str">
        <x:v>오픈열람실</x:v>
      </x:c>
      <x:c r="D49" t="str">
        <x:v>오픈열람실2 AP</x:v>
      </x:c>
      <x:c r="E49" t="str">
        <x:v>고정</x:v>
      </x:c>
      <x:c r="F49"/>
      <x:c r="G49" t="n">
        <x:v>1</x:v>
      </x:c>
      <x:c r="H49" t="n">
        <x:v>48</x:v>
      </x:c>
      <x:c r="I49" s="62" t="n">
        <x:v>-54</x:v>
      </x:c>
      <x:c r="J49" s="62" t="n">
        <x:v>1201</x:v>
      </x:c>
      <x:c r="K49" s="62" t="n">
        <x:v>81</x:v>
      </x:c>
      <x:c r="L49" s="62" t="n">
        <x:v>34</x:v>
      </x:c>
      <x:c r="M49" s="62" t="n">
        <x:v>0</x:v>
      </x:c>
      <x:c r="N49" s="62" t="n">
        <x:v>1.2458</x:v>
      </x:c>
      <x:c r="O49" s="62" t="n">
        <x:v>7.7554</x:v>
      </x:c>
      <x:c r="P49" s="62" t="n">
        <x:f>IF(OR(N49="",O49=""),"",2*N49*O49/(N49+O49))</x:f>
        <x:v>2.1467531706883527</x:v>
      </x:c>
      <x:c r="Q49" t="str">
        <x:v>오픈열람실에서_오픈열람실2_터트리기_1.jpg; 오픈열람실에서_오픈열람실2_터트리기_2.jpg</x:v>
      </x:c>
      <x:c r="R49" t="str">
        <x:v>기존 Excel 대응</x:v>
      </x:c>
      <x:c r="S49" t="str"/>
    </x:row>
    <x:row r="50" ht="15" hidden="0" customHeight="1">
      <x:c r="A50" t="str">
        <x:v>CONGESTED_OPEN2_R1</x:v>
      </x:c>
      <x:c r="B50" t="str">
        <x:v>혼잡 유도</x:v>
      </x:c>
      <x:c r="C50" t="str">
        <x:v>오픈열람실</x:v>
      </x:c>
      <x:c r="D50" t="str">
        <x:v>오픈열람실2 AP</x:v>
      </x:c>
      <x:c r="E50" t="str">
        <x:v>고정</x:v>
      </x:c>
      <x:c r="F50"/>
      <x:c r="G50" t="n">
        <x:v>1</x:v>
      </x:c>
      <x:c r="H50" t="n">
        <x:v>49</x:v>
      </x:c>
      <x:c r="I50" s="62" t="n">
        <x:v>-54</x:v>
      </x:c>
      <x:c r="J50" s="62" t="n">
        <x:v>1201</x:v>
      </x:c>
      <x:c r="K50" s="62" t="n">
        <x:v>92</x:v>
      </x:c>
      <x:c r="L50" s="62" t="n">
        <x:v>142</x:v>
      </x:c>
      <x:c r="M50" s="62" t="n">
        <x:v>3.3333</x:v>
      </x:c>
      <x:c r="N50" s="62" t="n">
        <x:v>6.0595</x:v>
      </x:c>
      <x:c r="O50" s="62" t="n">
        <x:v>0</x:v>
      </x:c>
      <x:c r="P50" s="62" t="str">
        <x:f>IF(OR(N50="",O50=""),"",2*N50*O50/(N50+O50))</x:f>
      </x:c>
      <x:c r="Q50" t="str">
        <x:v>오픈열람실에서_오픈열람실2_터트리기_1.jpg; 오픈열람실에서_오픈열람실2_터트리기_2.jpg</x:v>
      </x:c>
      <x:c r="R50" t="str">
        <x:v>기존 Excel 대응</x:v>
      </x:c>
      <x:c r="S50" t="str"/>
    </x:row>
    <x:row r="51" ht="15" hidden="0" customHeight="1">
      <x:c r="A51" t="str">
        <x:v>CONGESTED_OPEN2_R1</x:v>
      </x:c>
      <x:c r="B51" t="str">
        <x:v>혼잡 유도</x:v>
      </x:c>
      <x:c r="C51" t="str">
        <x:v>오픈열람실</x:v>
      </x:c>
      <x:c r="D51" t="str">
        <x:v>오픈열람실2 AP</x:v>
      </x:c>
      <x:c r="E51" t="str">
        <x:v>고정</x:v>
      </x:c>
      <x:c r="F51"/>
      <x:c r="G51" t="n">
        <x:v>1</x:v>
      </x:c>
      <x:c r="H51" t="n">
        <x:v>50</x:v>
      </x:c>
      <x:c r="I51" s="62" t="n">
        <x:v>-54</x:v>
      </x:c>
      <x:c r="J51" s="62" t="n">
        <x:v>1201</x:v>
      </x:c>
      <x:c r="K51" s="62" t="n">
        <x:v>90</x:v>
      </x:c>
      <x:c r="L51" s="62" t="n">
        <x:v>103</x:v>
      </x:c>
      <x:c r="M51" s="62" t="n">
        <x:v>0</x:v>
      </x:c>
      <x:c r="N51" s="62" t="n">
        <x:v>6.4692</x:v>
      </x:c>
      <x:c r="O51" s="62" t="n">
        <x:v>0.2092</x:v>
      </x:c>
      <x:c r="P51" s="62" t="n">
        <x:f>IF(OR(N51="",O51=""),"",2*N51*O51/(N51+O51))</x:f>
        <x:v>0.40529367513176806</x:v>
      </x:c>
      <x:c r="Q51" t="str">
        <x:v>오픈열람실에서_오픈열람실2_터트리기_1.jpg; 오픈열람실에서_오픈열람실2_터트리기_2.jpg</x:v>
      </x:c>
      <x:c r="R51" t="str">
        <x:v>기존 Excel 대응</x:v>
      </x:c>
      <x:c r="S51" t="str"/>
    </x:row>
    <x:row r="52" ht="15" hidden="0" customHeight="1">
      <x:c r="A52" t="str">
        <x:v>CONGESTED_OPEN2_R1</x:v>
      </x:c>
      <x:c r="B52" t="str">
        <x:v>혼잡 유도</x:v>
      </x:c>
      <x:c r="C52" t="str">
        <x:v>오픈열람실</x:v>
      </x:c>
      <x:c r="D52" t="str">
        <x:v>오픈열람실2 AP</x:v>
      </x:c>
      <x:c r="E52" t="str">
        <x:v>고정</x:v>
      </x:c>
      <x:c r="F52"/>
      <x:c r="G52" t="n">
        <x:v>1</x:v>
      </x:c>
      <x:c r="H52" t="n">
        <x:v>51</x:v>
      </x:c>
      <x:c r="I52" s="62" t="n">
        <x:v>-51</x:v>
      </x:c>
      <x:c r="J52" s="62" t="n">
        <x:v>1201</x:v>
      </x:c>
      <x:c r="K52" s="62" t="n">
        <x:v>89</x:v>
      </x:c>
      <x:c r="L52" s="62" t="n">
        <x:v>75</x:v>
      </x:c>
      <x:c r="M52" s="62" t="n">
        <x:v>0</x:v>
      </x:c>
      <x:c r="N52" s="62" t="n">
        <x:v>7.7475</x:v>
      </x:c>
      <x:c r="O52" s="62" t="n">
        <x:v>2.9331</x:v>
      </x:c>
      <x:c r="P52" s="62" t="n">
        <x:f>IF(OR(N52="",O52=""),"",2*N52*O52/(N52+O52))</x:f>
        <x:v>4.255227655749676</x:v>
      </x:c>
      <x:c r="Q52" t="str">
        <x:v>오픈열람실에서_오픈열람실2_터트리기_1.jpg; 오픈열람실에서_오픈열람실2_터트리기_2.jpg</x:v>
      </x:c>
      <x:c r="R52" t="str">
        <x:v>기존 Excel 대응</x:v>
      </x:c>
      <x:c r="S52" t="str"/>
    </x:row>
    <x:row r="53" ht="15" hidden="0" customHeight="1">
      <x:c r="A53" t="str">
        <x:v>CONGESTED_OPEN2_R1</x:v>
      </x:c>
      <x:c r="B53" t="str">
        <x:v>혼잡 유도</x:v>
      </x:c>
      <x:c r="C53" t="str">
        <x:v>오픈열람실</x:v>
      </x:c>
      <x:c r="D53" t="str">
        <x:v>오픈열람실2 AP</x:v>
      </x:c>
      <x:c r="E53" t="str">
        <x:v>고정</x:v>
      </x:c>
      <x:c r="F53"/>
      <x:c r="G53" t="n">
        <x:v>1</x:v>
      </x:c>
      <x:c r="H53" t="n">
        <x:v>52</x:v>
      </x:c>
      <x:c r="I53" s="62" t="n">
        <x:v>-50</x:v>
      </x:c>
      <x:c r="J53" s="62" t="n">
        <x:v>1201</x:v>
      </x:c>
      <x:c r="K53" s="62" t="n">
        <x:v>89</x:v>
      </x:c>
      <x:c r="L53" s="62" t="n">
        <x:v>45</x:v>
      </x:c>
      <x:c r="M53" s="62" t="n">
        <x:v>0</x:v>
      </x:c>
      <x:c r="N53" s="62" t="n">
        <x:v>12.0907</x:v>
      </x:c>
      <x:c r="O53" s="62" t="n">
        <x:v>0.2112</x:v>
      </x:c>
      <x:c r="P53" s="62" t="n">
        <x:f>IF(OR(N53="",O53=""),"",2*N53*O53/(N53+O53))</x:f>
        <x:v>0.4151482031230948</x:v>
      </x:c>
      <x:c r="Q53" t="str">
        <x:v>오픈열람실에서_오픈열람실2_터트리기_1.jpg; 오픈열람실에서_오픈열람실2_터트리기_2.jpg</x:v>
      </x:c>
      <x:c r="R53" t="str">
        <x:v>기존 Excel 대응</x:v>
      </x:c>
      <x:c r="S53" t="str"/>
    </x:row>
    <x:row r="54" ht="15" hidden="0" customHeight="1">
      <x:c r="A54" t="str">
        <x:v>CONGESTED_OPEN2_R1</x:v>
      </x:c>
      <x:c r="B54" t="str">
        <x:v>혼잡 유도</x:v>
      </x:c>
      <x:c r="C54" t="str">
        <x:v>오픈열람실</x:v>
      </x:c>
      <x:c r="D54" t="str">
        <x:v>오픈열람실2 AP</x:v>
      </x:c>
      <x:c r="E54" t="str">
        <x:v>고정</x:v>
      </x:c>
      <x:c r="F54"/>
      <x:c r="G54" t="n">
        <x:v>1</x:v>
      </x:c>
      <x:c r="H54" t="n">
        <x:v>53</x:v>
      </x:c>
      <x:c r="I54" s="62" t="n">
        <x:v>-52</x:v>
      </x:c>
      <x:c r="J54" s="62" t="n">
        <x:v>1201</x:v>
      </x:c>
      <x:c r="K54" s="62" t="n">
        <x:v>90</x:v>
      </x:c>
      <x:c r="L54" s="62" t="n">
        <x:v>43</x:v>
      </x:c>
      <x:c r="M54" s="62" t="n">
        <x:v>0</x:v>
      </x:c>
      <x:c r="N54" s="62" t="n">
        <x:v>5.4333</x:v>
      </x:c>
      <x:c r="O54" s="62" t="n">
        <x:v>1.4817</x:v>
      </x:c>
      <x:c r="P54" s="62" t="n">
        <x:f>IF(OR(N54="",O54=""),"",2*N54*O54/(N54+O54))</x:f>
        <x:v>2.3284224468546637</x:v>
      </x:c>
      <x:c r="Q54" t="str">
        <x:v>오픈열람실에서_오픈열람실2_터트리기_1.jpg; 오픈열람실에서_오픈열람실2_터트리기_2.jpg</x:v>
      </x:c>
      <x:c r="R54" t="str">
        <x:v>기존 Excel 대응</x:v>
      </x:c>
      <x:c r="S54" t="str"/>
    </x:row>
    <x:row r="55" ht="15" hidden="0" customHeight="1">
      <x:c r="A55" t="str">
        <x:v>CONGESTED_OPEN2_R1</x:v>
      </x:c>
      <x:c r="B55" t="str">
        <x:v>혼잡 유도</x:v>
      </x:c>
      <x:c r="C55" t="str">
        <x:v>오픈열람실</x:v>
      </x:c>
      <x:c r="D55" t="str">
        <x:v>오픈열람실2 AP</x:v>
      </x:c>
      <x:c r="E55" t="str">
        <x:v>고정</x:v>
      </x:c>
      <x:c r="F55"/>
      <x:c r="G55" t="n">
        <x:v>1</x:v>
      </x:c>
      <x:c r="H55" t="n">
        <x:v>54</x:v>
      </x:c>
      <x:c r="I55" s="62" t="n">
        <x:v>-51</x:v>
      </x:c>
      <x:c r="J55" s="62" t="n">
        <x:v>1201</x:v>
      </x:c>
      <x:c r="K55" s="62" t="n">
        <x:v>80</x:v>
      </x:c>
      <x:c r="L55" s="62" t="n">
        <x:v>15</x:v>
      </x:c>
      <x:c r="M55" s="62" t="n">
        <x:v>0</x:v>
      </x:c>
      <x:c r="N55" s="62" t="n">
        <x:v>35.788</x:v>
      </x:c>
      <x:c r="O55" s="62" t="n">
        <x:v>19.1005</x:v>
      </x:c>
      <x:c r="P55" s="62" t="n">
        <x:f>IF(OR(N55="",O55=""),"",2*N55*O55/(N55+O55))</x:f>
        <x:v>24.907537790247503</x:v>
      </x:c>
      <x:c r="Q55" t="str">
        <x:v>오픈열람실에서_오픈열람실2_터트리기_1.jpg; 오픈열람실에서_오픈열람실2_터트리기_2.jpg</x:v>
      </x:c>
      <x:c r="R55" t="str">
        <x:v>기존 Excel 대응</x:v>
      </x:c>
      <x:c r="S55" t="str"/>
    </x:row>
    <x:row r="56" ht="15" hidden="0" customHeight="1">
      <x:c r="A56" t="str">
        <x:v>CONGESTED_OPEN2_R1</x:v>
      </x:c>
      <x:c r="B56" t="str">
        <x:v>혼잡 유도</x:v>
      </x:c>
      <x:c r="C56" t="str">
        <x:v>오픈열람실</x:v>
      </x:c>
      <x:c r="D56" t="str">
        <x:v>오픈열람실2 AP</x:v>
      </x:c>
      <x:c r="E56" t="str">
        <x:v>고정</x:v>
      </x:c>
      <x:c r="F56"/>
      <x:c r="G56" t="n">
        <x:v>1</x:v>
      </x:c>
      <x:c r="H56" t="n">
        <x:v>55</x:v>
      </x:c>
      <x:c r="I56" s="62" t="n">
        <x:v>-51</x:v>
      </x:c>
      <x:c r="J56" s="62" t="n">
        <x:v>1201</x:v>
      </x:c>
      <x:c r="K56" s="62" t="n">
        <x:v>87</x:v>
      </x:c>
      <x:c r="L56" s="62" t="n">
        <x:v>26</x:v>
      </x:c>
      <x:c r="M56" s="62" t="n">
        <x:v>0</x:v>
      </x:c>
      <x:c r="N56" s="62" t="n">
        <x:v>48.955</x:v>
      </x:c>
      <x:c r="O56" s="62" t="n">
        <x:v>8.5733</x:v>
      </x:c>
      <x:c r="P56" s="62" t="n">
        <x:f>IF(OR(N56="",O56=""),"",2*N56*O56/(N56+O56))</x:f>
        <x:v>14.591284689448496</x:v>
      </x:c>
      <x:c r="Q56" t="str">
        <x:v>오픈열람실에서_오픈열람실2_터트리기_1.jpg; 오픈열람실에서_오픈열람실2_터트리기_2.jpg</x:v>
      </x:c>
      <x:c r="R56" t="str">
        <x:v>기존 Excel 대응</x:v>
      </x:c>
      <x:c r="S56" t="str"/>
    </x:row>
    <x:row r="57" ht="15" hidden="0" customHeight="1">
      <x:c r="A57" t="str">
        <x:v>CONGESTED_OPEN2_R1</x:v>
      </x:c>
      <x:c r="B57" t="str">
        <x:v>혼잡 유도</x:v>
      </x:c>
      <x:c r="C57" t="str">
        <x:v>오픈열람실</x:v>
      </x:c>
      <x:c r="D57" t="str">
        <x:v>오픈열람실2 AP</x:v>
      </x:c>
      <x:c r="E57" t="str">
        <x:v>고정</x:v>
      </x:c>
      <x:c r="F57"/>
      <x:c r="G57" t="n">
        <x:v>1</x:v>
      </x:c>
      <x:c r="H57" t="n">
        <x:v>56</x:v>
      </x:c>
      <x:c r="I57" s="62" t="n">
        <x:v>-53</x:v>
      </x:c>
      <x:c r="J57" s="62" t="n">
        <x:v>1201</x:v>
      </x:c>
      <x:c r="K57" s="62" t="n">
        <x:v>77</x:v>
      </x:c>
      <x:c r="L57" s="62" t="n">
        <x:v>17</x:v>
      </x:c>
      <x:c r="M57" s="62" t="n">
        <x:v>0</x:v>
      </x:c>
      <x:c r="N57" s="62" t="n">
        <x:v>91.4431</x:v>
      </x:c>
      <x:c r="O57" s="62" t="n">
        <x:v>56.8663</x:v>
      </x:c>
      <x:c r="P57" s="62" t="n">
        <x:f>IF(OR(N57="",O57=""),"",2*N57*O57/(N57+O57))</x:f>
        <x:v>70.12408866235046</x:v>
      </x:c>
      <x:c r="Q57" t="str">
        <x:v>오픈열람실에서_오픈열람실2_터트리기_1.jpg; 오픈열람실에서_오픈열람실2_터트리기_2.jpg</x:v>
      </x:c>
      <x:c r="R57" t="str">
        <x:v>기존 Excel 대응</x:v>
      </x:c>
      <x:c r="S57" t="str"/>
    </x:row>
    <x:row r="58" ht="15" hidden="0" customHeight="1">
      <x:c r="A58" t="str">
        <x:v>CONGESTED_OPEN2_R1</x:v>
      </x:c>
      <x:c r="B58" t="str">
        <x:v>혼잡 유도</x:v>
      </x:c>
      <x:c r="C58" t="str">
        <x:v>오픈열람실</x:v>
      </x:c>
      <x:c r="D58" t="str">
        <x:v>오픈열람실2 AP</x:v>
      </x:c>
      <x:c r="E58" t="str">
        <x:v>고정</x:v>
      </x:c>
      <x:c r="F58"/>
      <x:c r="G58" t="n">
        <x:v>1</x:v>
      </x:c>
      <x:c r="H58" t="n">
        <x:v>57</x:v>
      </x:c>
      <x:c r="I58" s="62" t="n">
        <x:v>-52</x:v>
      </x:c>
      <x:c r="J58" s="62" t="n">
        <x:v>1201</x:v>
      </x:c>
      <x:c r="K58" s="62" t="n">
        <x:v>54</x:v>
      </x:c>
      <x:c r="L58" s="62" t="n">
        <x:v>22</x:v>
      </x:c>
      <x:c r="M58" s="62" t="n">
        <x:v>0</x:v>
      </x:c>
      <x:c r="N58" s="62" t="n">
        <x:v>32.2685</x:v>
      </x:c>
      <x:c r="O58" s="62" t="n">
        <x:v>5.6557</x:v>
      </x:c>
      <x:c r="P58" s="62" t="n">
        <x:f>IF(OR(N58="",O58=""),"",2*N58*O58/(N58+O58))</x:f>
        <x:v>9.624511813037586</x:v>
      </x:c>
      <x:c r="Q58" t="str">
        <x:v>오픈열람실에서_오픈열람실2_터트리기_1.jpg; 오픈열람실에서_오픈열람실2_터트리기_2.jpg</x:v>
      </x:c>
      <x:c r="R58" t="str">
        <x:v>기존 Excel 대응</x:v>
      </x:c>
      <x:c r="S58" t="str"/>
    </x:row>
    <x:row r="59" ht="15" hidden="0" customHeight="1">
      <x:c r="A59" t="str">
        <x:v>CONGESTED_OPEN2_R1</x:v>
      </x:c>
      <x:c r="B59" t="str">
        <x:v>혼잡 유도</x:v>
      </x:c>
      <x:c r="C59" t="str">
        <x:v>오픈열람실</x:v>
      </x:c>
      <x:c r="D59" t="str">
        <x:v>오픈열람실2 AP</x:v>
      </x:c>
      <x:c r="E59" t="str">
        <x:v>고정</x:v>
      </x:c>
      <x:c r="F59"/>
      <x:c r="G59" t="n">
        <x:v>1</x:v>
      </x:c>
      <x:c r="H59" t="n">
        <x:v>58</x:v>
      </x:c>
      <x:c r="I59" s="62" t="n">
        <x:v>-53</x:v>
      </x:c>
      <x:c r="J59" s="62" t="n">
        <x:v>1201</x:v>
      </x:c>
      <x:c r="K59" s="62" t="n">
        <x:v>81</x:v>
      </x:c>
      <x:c r="L59" s="62" t="n">
        <x:v>39</x:v>
      </x:c>
      <x:c r="M59" s="62" t="n">
        <x:v>0</x:v>
      </x:c>
      <x:c r="N59" s="62" t="n">
        <x:v>64.5423</x:v>
      </x:c>
      <x:c r="O59" s="62" t="n">
        <x:v>9.8685</x:v>
      </x:c>
      <x:c r="P59" s="62" t="n">
        <x:f>IF(OR(N59="",O59=""),"",2*N59*O59/(N59+O59))</x:f>
        <x:v>17.119442004386457</x:v>
      </x:c>
      <x:c r="Q59" t="str">
        <x:v>오픈열람실에서_오픈열람실2_터트리기_1.jpg; 오픈열람실에서_오픈열람실2_터트리기_2.jpg</x:v>
      </x:c>
      <x:c r="R59" t="str">
        <x:v>기존 Excel 대응</x:v>
      </x:c>
      <x:c r="S59" t="str"/>
    </x:row>
    <x:row r="60" ht="15" hidden="0" customHeight="1">
      <x:c r="A60" t="str">
        <x:v>CONGESTED_OPEN2_R1</x:v>
      </x:c>
      <x:c r="B60" t="str">
        <x:v>혼잡 유도</x:v>
      </x:c>
      <x:c r="C60" t="str">
        <x:v>오픈열람실</x:v>
      </x:c>
      <x:c r="D60" t="str">
        <x:v>오픈열람실2 AP</x:v>
      </x:c>
      <x:c r="E60" t="str">
        <x:v>고정</x:v>
      </x:c>
      <x:c r="F60"/>
      <x:c r="G60" t="n">
        <x:v>1</x:v>
      </x:c>
      <x:c r="H60" t="n">
        <x:v>59</x:v>
      </x:c>
      <x:c r="I60" s="62" t="n">
        <x:v>-53</x:v>
      </x:c>
      <x:c r="J60" s="62" t="n">
        <x:v>1201</x:v>
      </x:c>
      <x:c r="K60" s="62" t="n">
        <x:v>50</x:v>
      </x:c>
      <x:c r="L60" s="62" t="n">
        <x:v>6</x:v>
      </x:c>
      <x:c r="M60" s="62" t="n">
        <x:v>0</x:v>
      </x:c>
      <x:c r="N60" s="62" t="n">
        <x:v>20.9406</x:v>
      </x:c>
      <x:c r="O60" s="62" t="n">
        <x:v>61.8937</x:v>
      </x:c>
      <x:c r="P60" s="62" t="n">
        <x:f>IF(OR(N60="",O60=""),"",2*N60*O60/(N60+O60))</x:f>
        <x:v>31.293587661632923</x:v>
      </x:c>
      <x:c r="Q60" t="str">
        <x:v>오픈열람실에서_오픈열람실2_터트리기_1.jpg; 오픈열람실에서_오픈열람실2_터트리기_2.jpg</x:v>
      </x:c>
      <x:c r="R60" t="str">
        <x:v>기존 Excel 대응</x:v>
      </x:c>
      <x:c r="S60" t="str"/>
    </x:row>
    <x:row r="61" ht="15" hidden="0" customHeight="1">
      <x:c r="A61" t="str">
        <x:v>CONGESTED_OPEN2_R1</x:v>
      </x:c>
      <x:c r="B61" t="str">
        <x:v>혼잡 유도</x:v>
      </x:c>
      <x:c r="C61" t="str">
        <x:v>오픈열람실</x:v>
      </x:c>
      <x:c r="D61" t="str">
        <x:v>오픈열람실2 AP</x:v>
      </x:c>
      <x:c r="E61" t="str">
        <x:v>고정</x:v>
      </x:c>
      <x:c r="F61"/>
      <x:c r="G61" t="n">
        <x:v>1</x:v>
      </x:c>
      <x:c r="H61" t="n">
        <x:v>60</x:v>
      </x:c>
      <x:c r="I61" s="62" t="n">
        <x:v>-52</x:v>
      </x:c>
      <x:c r="J61" s="62" t="n">
        <x:v>1201</x:v>
      </x:c>
      <x:c r="K61" s="62" t="n">
        <x:v>82</x:v>
      </x:c>
      <x:c r="L61" s="62" t="n">
        <x:v>18</x:v>
      </x:c>
      <x:c r="M61" s="62" t="n">
        <x:v>0</x:v>
      </x:c>
      <x:c r="N61" s="62" t="n">
        <x:v>71.0115</x:v>
      </x:c>
      <x:c r="O61" s="62" t="n">
        <x:v>4.1951</x:v>
      </x:c>
      <x:c r="P61" s="62" t="n">
        <x:f>IF(OR(N61="",O61=""),"",2*N61*O61/(N61+O61))</x:f>
        <x:v>7.922186181797874</x:v>
      </x:c>
      <x:c r="Q61" t="str">
        <x:v>오픈열람실에서_오픈열람실2_터트리기_1.jpg; 오픈열람실에서_오픈열람실2_터트리기_2.jpg</x:v>
      </x:c>
      <x:c r="R61" t="str">
        <x:v>기존 Excel 대응</x:v>
      </x:c>
      <x:c r="S61" t="str"/>
    </x:row>
    <x:row r="62" ht="15" hidden="0" customHeight="1">
      <x:c r="A62" t="str">
        <x:v>CONGESTED_OPEN2_R1</x:v>
      </x:c>
      <x:c r="B62" t="str">
        <x:v>혼잡 유도</x:v>
      </x:c>
      <x:c r="C62" t="str">
        <x:v>오픈열람실</x:v>
      </x:c>
      <x:c r="D62" t="str">
        <x:v>오픈열람실2 AP</x:v>
      </x:c>
      <x:c r="E62" t="str">
        <x:v>고정</x:v>
      </x:c>
      <x:c r="F62"/>
      <x:c r="G62" t="n">
        <x:v>1</x:v>
      </x:c>
      <x:c r="H62" t="n">
        <x:v>61</x:v>
      </x:c>
      <x:c r="I62" s="62" t="n">
        <x:v>-52</x:v>
      </x:c>
      <x:c r="J62" s="62" t="n">
        <x:v>1201</x:v>
      </x:c>
      <x:c r="K62" s="62" t="n">
        <x:v>81</x:v>
      </x:c>
      <x:c r="L62" s="62" t="n">
        <x:v>36</x:v>
      </x:c>
      <x:c r="M62" s="62" t="n">
        <x:v>0</x:v>
      </x:c>
      <x:c r="N62" s="62" t="n">
        <x:v>33.1206</x:v>
      </x:c>
      <x:c r="O62" s="62" t="n">
        <x:v>5.6522</x:v>
      </x:c>
      <x:c r="P62" s="62" t="n">
        <x:f>IF(OR(N62="",O62=""),"",2*N62*O62/(N62+O62))</x:f>
        <x:v>9.656473368959682</x:v>
      </x:c>
      <x:c r="Q62" t="str">
        <x:v>오픈열람실에서_오픈열람실2_터트리기_1.jpg; 오픈열람실에서_오픈열람실2_터트리기_2.jpg</x:v>
      </x:c>
      <x:c r="R62" t="str">
        <x:v>기존 Excel 대응</x:v>
      </x:c>
      <x:c r="S62" t="str"/>
    </x:row>
    <x:row r="63" ht="15" hidden="0" customHeight="1">
      <x:c r="A63" t="str">
        <x:v>CONGESTED_OPEN2_R1</x:v>
      </x:c>
      <x:c r="B63" t="str">
        <x:v>혼잡 유도</x:v>
      </x:c>
      <x:c r="C63" t="str">
        <x:v>오픈열람실</x:v>
      </x:c>
      <x:c r="D63" t="str">
        <x:v>오픈열람실2 AP</x:v>
      </x:c>
      <x:c r="E63" t="str">
        <x:v>고정</x:v>
      </x:c>
      <x:c r="F63"/>
      <x:c r="G63" t="n">
        <x:v>1</x:v>
      </x:c>
      <x:c r="H63" t="n">
        <x:v>62</x:v>
      </x:c>
      <x:c r="I63" s="62" t="n">
        <x:v>-54</x:v>
      </x:c>
      <x:c r="J63" s="62" t="n">
        <x:v>1201</x:v>
      </x:c>
      <x:c r="K63" s="62" t="n">
        <x:v>85</x:v>
      </x:c>
      <x:c r="L63" s="62" t="n">
        <x:v>17</x:v>
      </x:c>
      <x:c r="M63" s="62" t="n">
        <x:v>0</x:v>
      </x:c>
      <x:c r="N63" s="62" t="n">
        <x:v>15.7039</x:v>
      </x:c>
      <x:c r="O63" s="62" t="n">
        <x:v>2.9365</x:v>
      </x:c>
      <x:c r="P63" s="62" t="n">
        <x:f>IF(OR(N63="",O63=""),"",2*N63*O63/(N63+O63))</x:f>
        <x:v>4.947801801463489</x:v>
      </x:c>
      <x:c r="Q63" t="str">
        <x:v>오픈열람실에서_오픈열람실2_터트리기_1.jpg; 오픈열람실에서_오픈열람실2_터트리기_2.jpg</x:v>
      </x:c>
      <x:c r="R63" t="str">
        <x:v>기존 Excel 대응</x:v>
      </x:c>
      <x:c r="S63" t="str"/>
    </x:row>
    <x:row r="64" ht="15" hidden="0" customHeight="1">
      <x:c r="A64" t="str">
        <x:v>CONGESTED_OPEN2_R1</x:v>
      </x:c>
      <x:c r="B64" t="str">
        <x:v>혼잡 유도</x:v>
      </x:c>
      <x:c r="C64" t="str">
        <x:v>오픈열람실</x:v>
      </x:c>
      <x:c r="D64" t="str">
        <x:v>오픈열람실2 AP</x:v>
      </x:c>
      <x:c r="E64" t="str">
        <x:v>고정</x:v>
      </x:c>
      <x:c r="F64"/>
      <x:c r="G64" t="n">
        <x:v>1</x:v>
      </x:c>
      <x:c r="H64" t="n">
        <x:v>63</x:v>
      </x:c>
      <x:c r="I64" s="62" t="n">
        <x:v>-55</x:v>
      </x:c>
      <x:c r="J64" s="62" t="n">
        <x:v>1201</x:v>
      </x:c>
      <x:c r="K64" s="62" t="n">
        <x:v>82</x:v>
      </x:c>
      <x:c r="L64" s="62" t="n">
        <x:v>19</x:v>
      </x:c>
      <x:c r="M64" s="62" t="n">
        <x:v>0</x:v>
      </x:c>
      <x:c r="N64" s="62" t="n">
        <x:v>58.8988</x:v>
      </x:c>
      <x:c r="O64" s="62" t="n">
        <x:v>6.2949</x:v>
      </x:c>
      <x:c r="P64" s="62" t="n">
        <x:f>IF(OR(N64="",O64=""),"",2*N64*O64/(N64+O64))</x:f>
        <x:v>11.374168243864053</x:v>
      </x:c>
      <x:c r="Q64" t="str">
        <x:v>오픈열람실에서_오픈열람실2_터트리기_1.jpg; 오픈열람실에서_오픈열람실2_터트리기_2.jpg</x:v>
      </x:c>
      <x:c r="R64" t="str">
        <x:v>기존 Excel 대응</x:v>
      </x:c>
      <x:c r="S64" t="str"/>
    </x:row>
    <x:row r="65" ht="15" hidden="0" customHeight="1">
      <x:c r="A65" t="str">
        <x:v>CONGESTED_OPEN2_R1</x:v>
      </x:c>
      <x:c r="B65" t="str">
        <x:v>혼잡 유도</x:v>
      </x:c>
      <x:c r="C65" t="str">
        <x:v>오픈열람실</x:v>
      </x:c>
      <x:c r="D65" t="str">
        <x:v>오픈열람실2 AP</x:v>
      </x:c>
      <x:c r="E65" t="str">
        <x:v>고정</x:v>
      </x:c>
      <x:c r="F65"/>
      <x:c r="G65" t="n">
        <x:v>1</x:v>
      </x:c>
      <x:c r="H65" t="n">
        <x:v>64</x:v>
      </x:c>
      <x:c r="I65" s="62" t="n">
        <x:v>-54</x:v>
      </x:c>
      <x:c r="J65" s="62" t="n">
        <x:v>1201</x:v>
      </x:c>
      <x:c r="K65" s="62" t="n">
        <x:v>66</x:v>
      </x:c>
      <x:c r="L65" s="62" t="n">
        <x:v>16</x:v>
      </x:c>
      <x:c r="M65" s="62" t="n">
        <x:v>0</x:v>
      </x:c>
      <x:c r="N65" s="62" t="n">
        <x:v>35.4914</x:v>
      </x:c>
      <x:c r="O65" s="62" t="n">
        <x:v>8.9771</x:v>
      </x:c>
      <x:c r="P65" s="62" t="n">
        <x:f>IF(OR(N65="",O65=""),"",2*N65*O65/(N65+O65))</x:f>
        <x:v>14.329687169119715</x:v>
      </x:c>
      <x:c r="Q65" t="str">
        <x:v>오픈열람실에서_오픈열람실2_터트리기_1.jpg; 오픈열람실에서_오픈열람실2_터트리기_2.jpg</x:v>
      </x:c>
      <x:c r="R65" t="str">
        <x:v>기존 Excel 대응</x:v>
      </x:c>
      <x:c r="S65" t="str"/>
    </x:row>
    <x:row r="66" ht="15" hidden="0" customHeight="1">
      <x:c r="A66" t="str">
        <x:v>CONGESTED_OPEN2_R1</x:v>
      </x:c>
      <x:c r="B66" t="str">
        <x:v>혼잡 유도</x:v>
      </x:c>
      <x:c r="C66" t="str">
        <x:v>오픈열람실</x:v>
      </x:c>
      <x:c r="D66" t="str">
        <x:v>오픈열람실2 AP</x:v>
      </x:c>
      <x:c r="E66" t="str">
        <x:v>고정</x:v>
      </x:c>
      <x:c r="F66"/>
      <x:c r="G66" t="n">
        <x:v>1</x:v>
      </x:c>
      <x:c r="H66" t="n">
        <x:v>65</x:v>
      </x:c>
      <x:c r="I66" s="62" t="n">
        <x:v>-52</x:v>
      </x:c>
      <x:c r="J66" s="62" t="n">
        <x:v>1201</x:v>
      </x:c>
      <x:c r="K66" s="62" t="n">
        <x:v>81</x:v>
      </x:c>
      <x:c r="L66" s="62" t="n">
        <x:v>14</x:v>
      </x:c>
      <x:c r="M66" s="62" t="n">
        <x:v>0</x:v>
      </x:c>
      <x:c r="N66" s="62" t="n">
        <x:v>70.6027</x:v>
      </x:c>
      <x:c r="O66" s="62" t="n">
        <x:v>27.0952</x:v>
      </x:c>
      <x:c r="P66" s="62" t="n">
        <x:f>IF(OR(N66="",O66=""),"",2*N66*O66/(N66+O66))</x:f>
        <x:v>39.16142060453704</x:v>
      </x:c>
      <x:c r="Q66" t="str">
        <x:v>오픈열람실에서_오픈열람실2_터트리기_1.jpg; 오픈열람실에서_오픈열람실2_터트리기_2.jpg</x:v>
      </x:c>
      <x:c r="R66" t="str">
        <x:v>기존 Excel 대응</x:v>
      </x:c>
      <x:c r="S66" t="str"/>
    </x:row>
  </x:sheetData>
  <x:pageMargins left="0.7" right="0.7" top="0.75" bottom="0.75" header="0.3" footer="0.3"/>
  <x:tableParts count="1">
    <x:tablePart xmlns:r="http://schemas.openxmlformats.org/officeDocument/2006/relationships" r:id="Rb431b3768e7e4d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20" hidden="0" customWidth="1"/>
    <x:col min="5" max="5" width="12" hidden="0" customWidth="1"/>
    <x:col min="6" max="6" width="12" hidden="0" customWidth="1"/>
    <x:col min="7" max="7" width="9" hidden="0" customWidth="1"/>
    <x:col min="8" max="8" width="14" hidden="0" customWidth="1"/>
    <x:col min="9" max="9" width="12" hidden="0" customWidth="1"/>
    <x:col min="10" max="10" width="12" hidden="0" customWidth="1"/>
    <x:col min="11" max="11" width="13" hidden="0" customWidth="1"/>
    <x:col min="12" max="12" width="12" hidden="0" customWidth="1"/>
    <x:col min="13" max="13" width="18" hidden="0" customWidth="1"/>
    <x:col min="14" max="14" width="14" hidden="0" customWidth="1"/>
    <x:col min="15" max="15" width="16" hidden="0" customWidth="1"/>
    <x:col min="16" max="16" width="17" hidden="0" customWidth="1"/>
    <x:col min="17" max="17" width="42" hidden="0" customWidth="1"/>
    <x:col min="18" max="18" width="22" hidden="0" customWidth="1"/>
    <x:col min="19" max="19" width="34" hidden="0" customWidth="1"/>
  </x:cols>
  <x:sheetData>
    <x:row r="1" ht="15" hidden="0" customHeight="1">
      <x:c r="A1" s="6" t="str">
        <x:v>측정세트_ID</x:v>
      </x:c>
      <x:c r="B1" s="6" t="str">
        <x:v>상태</x:v>
      </x:c>
      <x:c r="C1" s="6" t="str">
        <x:v>측정 위치</x:v>
      </x:c>
      <x:c r="D1" s="6" t="str">
        <x:v>대상 AP 구역</x:v>
      </x:c>
      <x:c r="E1" s="6" t="str">
        <x:v>측정 형태</x:v>
      </x:c>
      <x:c r="F1" s="6" t="str">
        <x:v>측정시간_min</x:v>
      </x:c>
      <x:c r="G1" s="6" t="str">
        <x:v>반복</x:v>
      </x:c>
      <x:c r="H1" s="6" t="str">
        <x:v>세트내_측정번호</x:v>
      </x:c>
      <x:c r="I1" s="6" t="str">
        <x:v>RSSI_dBm</x:v>
      </x:c>
      <x:c r="J1" s="6" t="str">
        <x:v>Link_Mbps</x:v>
      </x:c>
      <x:c r="K1" s="6" t="str">
        <x:v>UTIL_percent</x:v>
      </x:c>
      <x:c r="L1" s="6" t="str">
        <x:v>RTT_ms</x:v>
      </x:c>
      <x:c r="M1" s="6" t="str">
        <x:v>PacketLoss_percent</x:v>
      </x:c>
      <x:c r="N1" s="6" t="str">
        <x:v>Upload_Mbps</x:v>
      </x:c>
      <x:c r="O1" s="6" t="str">
        <x:v>Download_Mbps</x:v>
      </x:c>
      <x:c r="P1" s="6" t="str">
        <x:v>Effective_Mbps</x:v>
      </x:c>
      <x:c r="Q1" s="6" t="str">
        <x:v>원본 이미지</x:v>
      </x:c>
      <x:c r="R1" s="6" t="str">
        <x:v>데이터 출처</x:v>
      </x:c>
      <x:c r="S1" s="6" t="str">
        <x:v>검토 메모</x:v>
      </x:c>
    </x:row>
    <x:row r="2" ht="15" hidden="0" customHeight="1">
      <x:c r="A2" t="str">
        <x:v>CONGESTED_OPEN2_R2</x:v>
      </x:c>
      <x:c r="B2" t="str">
        <x:v>혼잡 유도</x:v>
      </x:c>
      <x:c r="C2" t="str">
        <x:v>오픈열람실</x:v>
      </x:c>
      <x:c r="D2" t="str">
        <x:v>오픈열람실2 AP</x:v>
      </x:c>
      <x:c r="E2" t="str">
        <x:v>고정</x:v>
      </x:c>
      <x:c r="F2"/>
      <x:c r="G2" t="n">
        <x:v>2</x:v>
      </x:c>
      <x:c r="H2" t="n">
        <x:v>1</x:v>
      </x:c>
      <x:c r="I2" s="62" t="n">
        <x:v>-53</x:v>
      </x:c>
      <x:c r="J2" s="62" t="n">
        <x:v>1201</x:v>
      </x:c>
      <x:c r="K2" s="62" t="n">
        <x:v>87</x:v>
      </x:c>
      <x:c r="L2" s="62" t="n">
        <x:v>12</x:v>
      </x:c>
      <x:c r="M2" s="62" t="n">
        <x:v>0</x:v>
      </x:c>
      <x:c r="N2" s="62" t="n">
        <x:v>86.7459</x:v>
      </x:c>
      <x:c r="O2" s="62" t="n">
        <x:v>46.3055</x:v>
      </x:c>
      <x:c r="P2" s="62" t="n">
        <x:f>IF(OR(N2="",O2=""),"",2*N2*O2/(N2+O2))</x:f>
        <x:v>60.379857295000285</x:v>
      </x:c>
      <x:c r="Q2" t="str">
        <x:v>오픈열람실에서_오픈열람실2_터트리기_3.jpg</x:v>
      </x:c>
      <x:c r="R2" t="str">
        <x:v>이미지 판독</x:v>
      </x:c>
      <x:c r="S2" t="str">
        <x:v>이미지 판독값—원본 대조 권장</x:v>
      </x:c>
    </x:row>
    <x:row r="3" ht="15" hidden="0" customHeight="1">
      <x:c r="A3" t="str">
        <x:v>CONGESTED_OPEN2_R2</x:v>
      </x:c>
      <x:c r="B3" t="str">
        <x:v>혼잡 유도</x:v>
      </x:c>
      <x:c r="C3" t="str">
        <x:v>오픈열람실</x:v>
      </x:c>
      <x:c r="D3" t="str">
        <x:v>오픈열람실2 AP</x:v>
      </x:c>
      <x:c r="E3" t="str">
        <x:v>고정</x:v>
      </x:c>
      <x:c r="F3"/>
      <x:c r="G3" t="n">
        <x:v>2</x:v>
      </x:c>
      <x:c r="H3" t="n">
        <x:v>2</x:v>
      </x:c>
      <x:c r="I3" s="62" t="n">
        <x:v>-52</x:v>
      </x:c>
      <x:c r="J3" s="62" t="n">
        <x:v>1201</x:v>
      </x:c>
      <x:c r="K3" s="62" t="n">
        <x:v>69</x:v>
      </x:c>
      <x:c r="L3" s="62" t="n">
        <x:v>12</x:v>
      </x:c>
      <x:c r="M3" s="62" t="n">
        <x:v>0</x:v>
      </x:c>
      <x:c r="N3" s="62" t="n">
        <x:v>44.6121</x:v>
      </x:c>
      <x:c r="O3" s="62" t="n">
        <x:v>66.2091</x:v>
      </x:c>
      <x:c r="P3" s="62" t="n">
        <x:f>IF(OR(N3="",O3=""),"",2*N3*O3/(N3+O3))</x:f>
        <x:v>53.30617228671049</x:v>
      </x:c>
      <x:c r="Q3" t="str">
        <x:v>오픈열람실에서_오픈열람실2_터트리기_3.jpg</x:v>
      </x:c>
      <x:c r="R3" t="str">
        <x:v>이미지 판독</x:v>
      </x:c>
      <x:c r="S3" t="str">
        <x:v>이미지 판독값—원본 대조 권장</x:v>
      </x:c>
    </x:row>
    <x:row r="4" ht="15" hidden="0" customHeight="1">
      <x:c r="A4" t="str">
        <x:v>CONGESTED_OPEN2_R2</x:v>
      </x:c>
      <x:c r="B4" t="str">
        <x:v>혼잡 유도</x:v>
      </x:c>
      <x:c r="C4" t="str">
        <x:v>오픈열람실</x:v>
      </x:c>
      <x:c r="D4" t="str">
        <x:v>오픈열람실2 AP</x:v>
      </x:c>
      <x:c r="E4" t="str">
        <x:v>고정</x:v>
      </x:c>
      <x:c r="F4"/>
      <x:c r="G4" t="n">
        <x:v>2</x:v>
      </x:c>
      <x:c r="H4" t="n">
        <x:v>3</x:v>
      </x:c>
      <x:c r="I4" s="62" t="n">
        <x:v>-55</x:v>
      </x:c>
      <x:c r="J4" s="62" t="n">
        <x:v>1201</x:v>
      </x:c>
      <x:c r="K4" s="62" t="n">
        <x:v>38</x:v>
      </x:c>
      <x:c r="L4" s="62" t="n">
        <x:v>13</x:v>
      </x:c>
      <x:c r="M4" s="62" t="n">
        <x:v>0</x:v>
      </x:c>
      <x:c r="N4" s="62" t="n">
        <x:v>80.7254</x:v>
      </x:c>
      <x:c r="O4" s="62" t="n">
        <x:v>62.4138</x:v>
      </x:c>
      <x:c r="P4" s="62" t="n">
        <x:f>IF(OR(N4="",O4=""),"",2*N4*O4/(N4+O4))</x:f>
        <x:v>70.39831116172229</x:v>
      </x:c>
      <x:c r="Q4" t="str">
        <x:v>오픈열람실에서_오픈열람실2_터트리기_3.jpg</x:v>
      </x:c>
      <x:c r="R4" t="str">
        <x:v>이미지 판독</x:v>
      </x:c>
      <x:c r="S4" t="str">
        <x:v>이미지 판독값—원본 대조 권장</x:v>
      </x:c>
    </x:row>
    <x:row r="5" ht="15" hidden="0" customHeight="1">
      <x:c r="A5" t="str">
        <x:v>CONGESTED_OPEN2_R2</x:v>
      </x:c>
      <x:c r="B5" t="str">
        <x:v>혼잡 유도</x:v>
      </x:c>
      <x:c r="C5" t="str">
        <x:v>오픈열람실</x:v>
      </x:c>
      <x:c r="D5" t="str">
        <x:v>오픈열람실2 AP</x:v>
      </x:c>
      <x:c r="E5" t="str">
        <x:v>고정</x:v>
      </x:c>
      <x:c r="F5"/>
      <x:c r="G5" t="n">
        <x:v>2</x:v>
      </x:c>
      <x:c r="H5" t="n">
        <x:v>4</x:v>
      </x:c>
      <x:c r="I5" s="62" t="n">
        <x:v>-53</x:v>
      </x:c>
      <x:c r="J5" s="62" t="n">
        <x:v>1201</x:v>
      </x:c>
      <x:c r="K5" s="62" t="n">
        <x:v>76</x:v>
      </x:c>
      <x:c r="L5" s="62" t="n">
        <x:v>10</x:v>
      </x:c>
      <x:c r="M5" s="62" t="n">
        <x:v>0</x:v>
      </x:c>
      <x:c r="N5" s="62" t="n">
        <x:v>36.9471</x:v>
      </x:c>
      <x:c r="O5" s="62" t="n">
        <x:v>30.6617</x:v>
      </x:c>
      <x:c r="P5" s="62" t="n">
        <x:f>IF(OR(N5="",O5=""),"",2*N5*O5/(N5+O5))</x:f>
        <x:v>33.512232019204596</x:v>
      </x:c>
      <x:c r="Q5" t="str">
        <x:v>오픈열람실에서_오픈열람실2_터트리기_3.jpg</x:v>
      </x:c>
      <x:c r="R5" t="str">
        <x:v>이미지 판독</x:v>
      </x:c>
      <x:c r="S5" t="str">
        <x:v>이미지 판독값—원본 대조 권장</x:v>
      </x:c>
    </x:row>
    <x:row r="6" ht="15" hidden="0" customHeight="1">
      <x:c r="A6" t="str">
        <x:v>CONGESTED_OPEN2_R2</x:v>
      </x:c>
      <x:c r="B6" t="str">
        <x:v>혼잡 유도</x:v>
      </x:c>
      <x:c r="C6" t="str">
        <x:v>오픈열람실</x:v>
      </x:c>
      <x:c r="D6" t="str">
        <x:v>오픈열람실2 AP</x:v>
      </x:c>
      <x:c r="E6" t="str">
        <x:v>고정</x:v>
      </x:c>
      <x:c r="F6"/>
      <x:c r="G6" t="n">
        <x:v>2</x:v>
      </x:c>
      <x:c r="H6" t="n">
        <x:v>5</x:v>
      </x:c>
      <x:c r="I6" s="62" t="n">
        <x:v>-51</x:v>
      </x:c>
      <x:c r="J6" s="62" t="n">
        <x:v>1201</x:v>
      </x:c>
      <x:c r="K6" s="62" t="n">
        <x:v>46</x:v>
      </x:c>
      <x:c r="L6" s="62" t="n">
        <x:v>7</x:v>
      </x:c>
      <x:c r="M6" s="62" t="n">
        <x:v>0</x:v>
      </x:c>
      <x:c r="N6" s="62" t="n">
        <x:v>60.4987</x:v>
      </x:c>
      <x:c r="O6" s="62" t="n">
        <x:v>53.786</x:v>
      </x:c>
      <x:c r="P6" s="62" t="n">
        <x:f>IF(OR(N6="",O6=""),"",2*N6*O6/(N6+O6))</x:f>
        <x:v>56.94520925723216</x:v>
      </x:c>
      <x:c r="Q6" t="str">
        <x:v>오픈열람실에서_오픈열람실2_터트리기_3.jpg</x:v>
      </x:c>
      <x:c r="R6" t="str">
        <x:v>이미지 판독</x:v>
      </x:c>
      <x:c r="S6" t="str">
        <x:v>이미지 판독값—원본 대조 권장</x:v>
      </x:c>
    </x:row>
    <x:row r="7" ht="15" hidden="0" customHeight="1">
      <x:c r="A7" t="str">
        <x:v>CONGESTED_OPEN2_R2</x:v>
      </x:c>
      <x:c r="B7" t="str">
        <x:v>혼잡 유도</x:v>
      </x:c>
      <x:c r="C7" t="str">
        <x:v>오픈열람실</x:v>
      </x:c>
      <x:c r="D7" t="str">
        <x:v>오픈열람실2 AP</x:v>
      </x:c>
      <x:c r="E7" t="str">
        <x:v>고정</x:v>
      </x:c>
      <x:c r="F7"/>
      <x:c r="G7" t="n">
        <x:v>2</x:v>
      </x:c>
      <x:c r="H7" t="n">
        <x:v>6</x:v>
      </x:c>
      <x:c r="I7" s="62" t="n">
        <x:v>-49</x:v>
      </x:c>
      <x:c r="J7" s="62" t="n">
        <x:v>1201</x:v>
      </x:c>
      <x:c r="K7" s="62" t="n">
        <x:v>55</x:v>
      </x:c>
      <x:c r="L7" s="62" t="n">
        <x:v>11</x:v>
      </x:c>
      <x:c r="M7" s="62" t="n">
        <x:v>0</x:v>
      </x:c>
      <x:c r="N7" s="62" t="n">
        <x:v>66.2487</x:v>
      </x:c>
      <x:c r="O7" s="62" t="n">
        <x:v>59.7516</x:v>
      </x:c>
      <x:c r="P7" s="62" t="n">
        <x:f>IF(OR(N7="",O7=""),"",2*N7*O7/(N7+O7))</x:f>
        <x:v>62.832641238473244</x:v>
      </x:c>
      <x:c r="Q7" t="str">
        <x:v>오픈열람실에서_오픈열람실2_터트리기_3.jpg</x:v>
      </x:c>
      <x:c r="R7" t="str">
        <x:v>이미지 판독</x:v>
      </x:c>
      <x:c r="S7" t="str">
        <x:v>이미지 판독값—원본 대조 권장</x:v>
      </x:c>
    </x:row>
    <x:row r="8" ht="15" hidden="0" customHeight="1">
      <x:c r="A8" t="str">
        <x:v>CONGESTED_OPEN2_R2</x:v>
      </x:c>
      <x:c r="B8" t="str">
        <x:v>혼잡 유도</x:v>
      </x:c>
      <x:c r="C8" t="str">
        <x:v>오픈열람실</x:v>
      </x:c>
      <x:c r="D8" t="str">
        <x:v>오픈열람실2 AP</x:v>
      </x:c>
      <x:c r="E8" t="str">
        <x:v>고정</x:v>
      </x:c>
      <x:c r="F8"/>
      <x:c r="G8" t="n">
        <x:v>2</x:v>
      </x:c>
      <x:c r="H8" t="n">
        <x:v>7</x:v>
      </x:c>
      <x:c r="I8" s="62" t="n">
        <x:v>-51</x:v>
      </x:c>
      <x:c r="J8" s="62" t="n">
        <x:v>1201</x:v>
      </x:c>
      <x:c r="K8" s="62" t="n">
        <x:v>39</x:v>
      </x:c>
      <x:c r="L8" s="62" t="n">
        <x:v>20</x:v>
      </x:c>
      <x:c r="M8" s="62" t="n">
        <x:v>0</x:v>
      </x:c>
      <x:c r="N8" s="62" t="n">
        <x:v>61.9016</x:v>
      </x:c>
      <x:c r="O8" s="62" t="n">
        <x:v>48.1434</x:v>
      </x:c>
      <x:c r="P8" s="62" t="n">
        <x:f>IF(OR(N8="",O8=""),"",2*N8*O8/(N8+O8))</x:f>
        <x:v>54.16245153237312</x:v>
      </x:c>
      <x:c r="Q8" t="str">
        <x:v>오픈열람실에서_오픈열람실2_터트리기_3.jpg</x:v>
      </x:c>
      <x:c r="R8" t="str">
        <x:v>이미지 판독</x:v>
      </x:c>
      <x:c r="S8" t="str">
        <x:v>이미지 판독값—원본 대조 권장</x:v>
      </x:c>
    </x:row>
    <x:row r="9" ht="15" hidden="0" customHeight="1">
      <x:c r="A9" t="str">
        <x:v>CONGESTED_OPEN2_R2</x:v>
      </x:c>
      <x:c r="B9" t="str">
        <x:v>혼잡 유도</x:v>
      </x:c>
      <x:c r="C9" t="str">
        <x:v>오픈열람실</x:v>
      </x:c>
      <x:c r="D9" t="str">
        <x:v>오픈열람실2 AP</x:v>
      </x:c>
      <x:c r="E9" t="str">
        <x:v>고정</x:v>
      </x:c>
      <x:c r="F9"/>
      <x:c r="G9" t="n">
        <x:v>2</x:v>
      </x:c>
      <x:c r="H9" t="n">
        <x:v>8</x:v>
      </x:c>
      <x:c r="I9" s="62" t="n">
        <x:v>-53</x:v>
      </x:c>
      <x:c r="J9" s="62" t="n">
        <x:v>1201</x:v>
      </x:c>
      <x:c r="K9" s="62" t="n">
        <x:v>75</x:v>
      </x:c>
      <x:c r="L9" s="62" t="n">
        <x:v>7</x:v>
      </x:c>
      <x:c r="M9" s="62" t="n">
        <x:v>0</x:v>
      </x:c>
      <x:c r="N9" s="62" t="n">
        <x:v>64.4502</x:v>
      </x:c>
      <x:c r="O9" s="62" t="n">
        <x:v>72.4392</x:v>
      </x:c>
      <x:c r="P9" s="62" t="n">
        <x:f>IF(OR(N9="",O9=""),"",2*N9*O9/(N9+O9))</x:f>
        <x:v>68.21157705183893</x:v>
      </x:c>
      <x:c r="Q9" t="str">
        <x:v>오픈열람실에서_오픈열람실2_터트리기_3.jpg</x:v>
      </x:c>
      <x:c r="R9" t="str">
        <x:v>이미지 판독</x:v>
      </x:c>
      <x:c r="S9" t="str">
        <x:v>이미지 판독값—원본 대조 권장</x:v>
      </x:c>
    </x:row>
    <x:row r="10" ht="15" hidden="0" customHeight="1">
      <x:c r="A10" t="str">
        <x:v>CONGESTED_OPEN2_R2</x:v>
      </x:c>
      <x:c r="B10" t="str">
        <x:v>혼잡 유도</x:v>
      </x:c>
      <x:c r="C10" t="str">
        <x:v>오픈열람실</x:v>
      </x:c>
      <x:c r="D10" t="str">
        <x:v>오픈열람실2 AP</x:v>
      </x:c>
      <x:c r="E10" t="str">
        <x:v>고정</x:v>
      </x:c>
      <x:c r="F10"/>
      <x:c r="G10" t="n">
        <x:v>2</x:v>
      </x:c>
      <x:c r="H10" t="n">
        <x:v>9</x:v>
      </x:c>
      <x:c r="I10" s="62" t="n">
        <x:v>-54</x:v>
      </x:c>
      <x:c r="J10" s="62" t="n">
        <x:v>1201</x:v>
      </x:c>
      <x:c r="K10" s="62" t="n">
        <x:v>37</x:v>
      </x:c>
      <x:c r="L10" s="62" t="n">
        <x:v>11</x:v>
      </x:c>
      <x:c r="M10" s="62" t="n">
        <x:v>0</x:v>
      </x:c>
      <x:c r="N10" s="62" t="n">
        <x:v>76.5246</x:v>
      </x:c>
      <x:c r="O10" s="62" t="n">
        <x:v>60.719</x:v>
      </x:c>
      <x:c r="P10" s="62" t="n">
        <x:f>IF(OR(N10="",O10=""),"",2*N10*O10/(N10+O10))</x:f>
        <x:v>67.71167744652574</x:v>
      </x:c>
      <x:c r="Q10" t="str">
        <x:v>오픈열람실에서_오픈열람실2_터트리기_3.jpg</x:v>
      </x:c>
      <x:c r="R10" t="str">
        <x:v>이미지 판독</x:v>
      </x:c>
      <x:c r="S10" t="str">
        <x:v>이미지 판독값—원본 대조 권장</x:v>
      </x:c>
    </x:row>
    <x:row r="11" ht="15" hidden="0" customHeight="1">
      <x:c r="A11" t="str">
        <x:v>CONGESTED_OPEN2_R2</x:v>
      </x:c>
      <x:c r="B11" t="str">
        <x:v>혼잡 유도</x:v>
      </x:c>
      <x:c r="C11" t="str">
        <x:v>오픈열람실</x:v>
      </x:c>
      <x:c r="D11" t="str">
        <x:v>오픈열람실2 AP</x:v>
      </x:c>
      <x:c r="E11" t="str">
        <x:v>고정</x:v>
      </x:c>
      <x:c r="F11"/>
      <x:c r="G11" t="n">
        <x:v>2</x:v>
      </x:c>
      <x:c r="H11" t="n">
        <x:v>10</x:v>
      </x:c>
      <x:c r="I11" s="62" t="n">
        <x:v>-56</x:v>
      </x:c>
      <x:c r="J11" s="62" t="n">
        <x:v>1201</x:v>
      </x:c>
      <x:c r="K11" s="62" t="n">
        <x:v>42</x:v>
      </x:c>
      <x:c r="L11" s="62" t="n">
        <x:v>7</x:v>
      </x:c>
      <x:c r="M11" s="62" t="n">
        <x:v>0</x:v>
      </x:c>
      <x:c r="N11" s="62" t="n">
        <x:v>50.4869</x:v>
      </x:c>
      <x:c r="O11" s="62" t="n">
        <x:v>40.4844</x:v>
      </x:c>
      <x:c r="P11" s="62" t="n">
        <x:f>IF(OR(N11="",O11=""),"",2*N11*O11/(N11+O11))</x:f>
        <x:v>44.93575126133187</x:v>
      </x:c>
      <x:c r="Q11" t="str">
        <x:v>오픈열람실에서_오픈열람실2_터트리기_3.jpg</x:v>
      </x:c>
      <x:c r="R11" t="str">
        <x:v>이미지 판독</x:v>
      </x:c>
      <x:c r="S11" t="str">
        <x:v>이미지 판독값—원본 대조 권장</x:v>
      </x:c>
    </x:row>
    <x:row r="12" ht="15" hidden="0" customHeight="1">
      <x:c r="A12" t="str">
        <x:v>CONGESTED_OPEN2_R2</x:v>
      </x:c>
      <x:c r="B12" t="str">
        <x:v>혼잡 유도</x:v>
      </x:c>
      <x:c r="C12" t="str">
        <x:v>오픈열람실</x:v>
      </x:c>
      <x:c r="D12" t="str">
        <x:v>오픈열람실2 AP</x:v>
      </x:c>
      <x:c r="E12" t="str">
        <x:v>고정</x:v>
      </x:c>
      <x:c r="F12"/>
      <x:c r="G12" t="n">
        <x:v>2</x:v>
      </x:c>
      <x:c r="H12" t="n">
        <x:v>11</x:v>
      </x:c>
      <x:c r="I12" s="62" t="n">
        <x:v>-49</x:v>
      </x:c>
      <x:c r="J12" s="62" t="n">
        <x:v>1201</x:v>
      </x:c>
      <x:c r="K12" s="62" t="n">
        <x:v>58</x:v>
      </x:c>
      <x:c r="L12" s="62" t="n">
        <x:v>11</x:v>
      </x:c>
      <x:c r="M12" s="62" t="n">
        <x:v>0</x:v>
      </x:c>
      <x:c r="N12" s="62" t="n">
        <x:v>55.7771</x:v>
      </x:c>
      <x:c r="O12" s="62" t="n">
        <x:v>39.821</x:v>
      </x:c>
      <x:c r="P12" s="62" t="n">
        <x:f>IF(OR(N12="",O12=""),"",2*N12*O12/(N12+O12))</x:f>
        <x:v>46.46744860201196</x:v>
      </x:c>
      <x:c r="Q12" t="str">
        <x:v>오픈열람실에서_오픈열람실2_터트리기_3.jpg</x:v>
      </x:c>
      <x:c r="R12" t="str">
        <x:v>이미지 판독</x:v>
      </x:c>
      <x:c r="S12" t="str">
        <x:v>이미지 판독값—원본 대조 권장</x:v>
      </x:c>
    </x:row>
    <x:row r="13" ht="15" hidden="0" customHeight="1">
      <x:c r="A13" t="str">
        <x:v>CONGESTED_OPEN2_R2</x:v>
      </x:c>
      <x:c r="B13" t="str">
        <x:v>혼잡 유도</x:v>
      </x:c>
      <x:c r="C13" t="str">
        <x:v>오픈열람실</x:v>
      </x:c>
      <x:c r="D13" t="str">
        <x:v>오픈열람실2 AP</x:v>
      </x:c>
      <x:c r="E13" t="str">
        <x:v>고정</x:v>
      </x:c>
      <x:c r="F13"/>
      <x:c r="G13" t="n">
        <x:v>2</x:v>
      </x:c>
      <x:c r="H13" t="n">
        <x:v>12</x:v>
      </x:c>
      <x:c r="I13" s="62" t="n">
        <x:v>-52</x:v>
      </x:c>
      <x:c r="J13" s="62" t="n">
        <x:v>1201</x:v>
      </x:c>
      <x:c r="K13" s="62" t="n">
        <x:v>62</x:v>
      </x:c>
      <x:c r="L13" s="62" t="n">
        <x:v>5</x:v>
      </x:c>
      <x:c r="M13" s="62" t="n">
        <x:v>0</x:v>
      </x:c>
      <x:c r="N13" s="62" t="n">
        <x:v>26.2776</x:v>
      </x:c>
      <x:c r="O13" s="62" t="n">
        <x:v>28.9078</x:v>
      </x:c>
      <x:c r="P13" s="62" t="n">
        <x:f>IF(OR(N13="",O13=""),"",2*N13*O13/(N13+O13))</x:f>
        <x:v>27.5300208127512</x:v>
      </x:c>
      <x:c r="Q13" t="str">
        <x:v>오픈열람실에서_오픈열람실2_터트리기_3.jpg</x:v>
      </x:c>
      <x:c r="R13" t="str">
        <x:v>이미지 판독</x:v>
      </x:c>
      <x:c r="S13" t="str">
        <x:v>이미지 판독값—원본 대조 권장</x:v>
      </x:c>
    </x:row>
    <x:row r="14" ht="15" hidden="0" customHeight="1">
      <x:c r="A14" t="str">
        <x:v>CONGESTED_OPEN2_R2</x:v>
      </x:c>
      <x:c r="B14" t="str">
        <x:v>혼잡 유도</x:v>
      </x:c>
      <x:c r="C14" t="str">
        <x:v>오픈열람실</x:v>
      </x:c>
      <x:c r="D14" t="str">
        <x:v>오픈열람실2 AP</x:v>
      </x:c>
      <x:c r="E14" t="str">
        <x:v>고정</x:v>
      </x:c>
      <x:c r="F14"/>
      <x:c r="G14" t="n">
        <x:v>2</x:v>
      </x:c>
      <x:c r="H14" t="n">
        <x:v>13</x:v>
      </x:c>
      <x:c r="I14" s="62" t="n">
        <x:v>-50</x:v>
      </x:c>
      <x:c r="J14" s="62" t="n">
        <x:v>1201</x:v>
      </x:c>
      <x:c r="K14" s="62" t="n">
        <x:v>31</x:v>
      </x:c>
      <x:c r="L14" s="62" t="n">
        <x:v>7</x:v>
      </x:c>
      <x:c r="M14" s="62" t="n">
        <x:v>0</x:v>
      </x:c>
      <x:c r="N14" s="62" t="n">
        <x:v>64.7641</x:v>
      </x:c>
      <x:c r="O14" s="62" t="n">
        <x:v>61.9575</x:v>
      </x:c>
      <x:c r="P14" s="62" t="n">
        <x:f>IF(OR(N14="",O14=""),"",2*N14*O14/(N14+O14))</x:f>
        <x:v>63.329720043781016</x:v>
      </x:c>
      <x:c r="Q14" t="str">
        <x:v>오픈열람실에서_오픈열람실2_터트리기_3.jpg</x:v>
      </x:c>
      <x:c r="R14" t="str">
        <x:v>이미지 판독</x:v>
      </x:c>
      <x:c r="S14" t="str">
        <x:v>이미지 판독값—원본 대조 권장</x:v>
      </x:c>
    </x:row>
    <x:row r="15" ht="15" hidden="0" customHeight="1">
      <x:c r="A15" t="str">
        <x:v>CONGESTED_OPEN2_R2</x:v>
      </x:c>
      <x:c r="B15" t="str">
        <x:v>혼잡 유도</x:v>
      </x:c>
      <x:c r="C15" t="str">
        <x:v>오픈열람실</x:v>
      </x:c>
      <x:c r="D15" t="str">
        <x:v>오픈열람실2 AP</x:v>
      </x:c>
      <x:c r="E15" t="str">
        <x:v>고정</x:v>
      </x:c>
      <x:c r="F15"/>
      <x:c r="G15" t="n">
        <x:v>2</x:v>
      </x:c>
      <x:c r="H15" t="n">
        <x:v>14</x:v>
      </x:c>
      <x:c r="I15" s="62" t="n">
        <x:v>-50</x:v>
      </x:c>
      <x:c r="J15" s="62" t="n">
        <x:v>1201</x:v>
      </x:c>
      <x:c r="K15" s="62" t="n">
        <x:v>45</x:v>
      </x:c>
      <x:c r="L15" s="62" t="n">
        <x:v>7</x:v>
      </x:c>
      <x:c r="M15" s="62" t="n">
        <x:v>0</x:v>
      </x:c>
      <x:c r="N15" s="62" t="n">
        <x:v>10.156</x:v>
      </x:c>
      <x:c r="O15" s="62" t="n">
        <x:v>37.7142</x:v>
      </x:c>
      <x:c r="P15" s="62" t="n">
        <x:f>IF(OR(N15="",O15=""),"",2*N15*O15/(N15+O15))</x:f>
        <x:v>16.002666176452156</x:v>
      </x:c>
      <x:c r="Q15" t="str">
        <x:v>오픈열람실에서_오픈열람실2_터트리기_3.jpg</x:v>
      </x:c>
      <x:c r="R15" t="str">
        <x:v>이미지 판독</x:v>
      </x:c>
      <x:c r="S15" t="str">
        <x:v>이미지 판독값—원본 대조 권장</x:v>
      </x:c>
    </x:row>
    <x:row r="16" ht="15" hidden="0" customHeight="1">
      <x:c r="A16" t="str">
        <x:v>CONGESTED_OPEN2_R2</x:v>
      </x:c>
      <x:c r="B16" t="str">
        <x:v>혼잡 유도</x:v>
      </x:c>
      <x:c r="C16" t="str">
        <x:v>오픈열람실</x:v>
      </x:c>
      <x:c r="D16" t="str">
        <x:v>오픈열람실2 AP</x:v>
      </x:c>
      <x:c r="E16" t="str">
        <x:v>고정</x:v>
      </x:c>
      <x:c r="F16"/>
      <x:c r="G16" t="n">
        <x:v>2</x:v>
      </x:c>
      <x:c r="H16" t="n">
        <x:v>15</x:v>
      </x:c>
      <x:c r="I16" s="62" t="n">
        <x:v>-49</x:v>
      </x:c>
      <x:c r="J16" s="62" t="n">
        <x:v>1201</x:v>
      </x:c>
      <x:c r="K16" s="62" t="n">
        <x:v>64</x:v>
      </x:c>
      <x:c r="L16" s="62" t="n">
        <x:v>8</x:v>
      </x:c>
      <x:c r="M16" s="62" t="n">
        <x:v>0</x:v>
      </x:c>
      <x:c r="N16" s="62" t="n">
        <x:v>68.9829</x:v>
      </x:c>
      <x:c r="O16" s="62" t="n">
        <x:v>59.4875</x:v>
      </x:c>
      <x:c r="P16" s="62" t="n">
        <x:f>IF(OR(N16="",O16=""),"",2*N16*O16/(N16+O16))</x:f>
        <x:v>63.88429184855033</x:v>
      </x:c>
      <x:c r="Q16" t="str">
        <x:v>오픈열람실에서_오픈열람실2_터트리기_3.jpg</x:v>
      </x:c>
      <x:c r="R16" t="str">
        <x:v>이미지 판독</x:v>
      </x:c>
      <x:c r="S16" t="str">
        <x:v>이미지 판독값—원본 대조 권장</x:v>
      </x:c>
    </x:row>
    <x:row r="17" ht="15" hidden="0" customHeight="1">
      <x:c r="A17" t="str">
        <x:v>CONGESTED_OPEN2_R2</x:v>
      </x:c>
      <x:c r="B17" t="str">
        <x:v>혼잡 유도</x:v>
      </x:c>
      <x:c r="C17" t="str">
        <x:v>오픈열람실</x:v>
      </x:c>
      <x:c r="D17" t="str">
        <x:v>오픈열람실2 AP</x:v>
      </x:c>
      <x:c r="E17" t="str">
        <x:v>고정</x:v>
      </x:c>
      <x:c r="F17"/>
      <x:c r="G17" t="n">
        <x:v>2</x:v>
      </x:c>
      <x:c r="H17" t="n">
        <x:v>16</x:v>
      </x:c>
      <x:c r="I17" s="62" t="n">
        <x:v>-50</x:v>
      </x:c>
      <x:c r="J17" s="62" t="n">
        <x:v>1201</x:v>
      </x:c>
      <x:c r="K17" s="62" t="n">
        <x:v>43</x:v>
      </x:c>
      <x:c r="L17" s="62" t="n">
        <x:v>14</x:v>
      </x:c>
      <x:c r="M17" s="62" t="n">
        <x:v>0</x:v>
      </x:c>
      <x:c r="N17" s="62" t="n">
        <x:v>51.3337</x:v>
      </x:c>
      <x:c r="O17" s="62" t="n">
        <x:v>33.3427</x:v>
      </x:c>
      <x:c r="P17" s="62" t="n">
        <x:f>IF(OR(N17="",O17=""),"",2*N17*O17/(N17+O17))</x:f>
        <x:v>40.42694679958052</x:v>
      </x:c>
      <x:c r="Q17" t="str">
        <x:v>오픈열람실에서_오픈열람실2_터트리기_3.jpg</x:v>
      </x:c>
      <x:c r="R17" t="str">
        <x:v>이미지 판독</x:v>
      </x:c>
      <x:c r="S17" t="str">
        <x:v>이미지 판독값—원본 대조 권장</x:v>
      </x:c>
    </x:row>
  </x:sheetData>
  <x:pageMargins left="0.7" right="0.7" top="0.75" bottom="0.75" header="0.3" footer="0.3"/>
  <x:tableParts count="1">
    <x:tablePart xmlns:r="http://schemas.openxmlformats.org/officeDocument/2006/relationships" r:id="R8e17700b85df4934"/>
  </x:tableParts>
</x:worksheet>
</file>